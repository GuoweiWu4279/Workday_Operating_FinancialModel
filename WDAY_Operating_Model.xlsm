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6d1c31610eb2bc/Study/Projects/Financial Models/Workday_Operating_Model/"/>
    </mc:Choice>
  </mc:AlternateContent>
  <xr:revisionPtr revIDLastSave="1368" documentId="8_{271544A6-0FEB-41BA-82D4-CDBFB7E8CA0F}" xr6:coauthVersionLast="47" xr6:coauthVersionMax="47" xr10:uidLastSave="{7062B02D-6E19-4DD7-BB33-92BE1C9EB4E8}"/>
  <bookViews>
    <workbookView xWindow="-93" yWindow="-93" windowWidth="25786" windowHeight="13866" xr2:uid="{E4FAC381-51C3-4F89-B691-B260B7FECEED}"/>
  </bookViews>
  <sheets>
    <sheet name="Summary" sheetId="13" r:id="rId1"/>
    <sheet name="New Assumptions" sheetId="12" r:id="rId2"/>
    <sheet name="Financial Statements" sheetId="3" r:id="rId3"/>
    <sheet name="Revenue_Build" sheetId="4" r:id="rId4"/>
    <sheet name="ARR WaterFall" sheetId="11" r:id="rId5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3" l="1"/>
  <c r="T9" i="3"/>
  <c r="R9" i="3"/>
  <c r="K18" i="3"/>
  <c r="Q9" i="3"/>
  <c r="J14" i="3"/>
  <c r="K14" i="3" s="1"/>
  <c r="L14" i="3" s="1"/>
  <c r="M14" i="3" s="1"/>
  <c r="K23" i="3"/>
  <c r="L23" i="3" s="1"/>
  <c r="M23" i="3" s="1"/>
  <c r="K19" i="3"/>
  <c r="L19" i="3" s="1"/>
  <c r="M19" i="3" s="1"/>
  <c r="K17" i="3"/>
  <c r="L17" i="3" s="1"/>
  <c r="M17" i="3" s="1"/>
  <c r="K6" i="3"/>
  <c r="L6" i="3" s="1"/>
  <c r="M6" i="3" s="1"/>
  <c r="J32" i="3"/>
  <c r="J19" i="12"/>
  <c r="G8" i="12"/>
  <c r="I8" i="12" s="1"/>
  <c r="G9" i="12"/>
  <c r="H9" i="12" s="1"/>
  <c r="J9" i="12" s="1" a="1"/>
  <c r="J9" i="12" s="1"/>
  <c r="G7" i="12"/>
  <c r="I7" i="12" s="1"/>
  <c r="D8" i="4"/>
  <c r="E8" i="4"/>
  <c r="F8" i="4"/>
  <c r="G8" i="4"/>
  <c r="C8" i="4"/>
  <c r="D5" i="4"/>
  <c r="E5" i="4" s="1"/>
  <c r="C5" i="4"/>
  <c r="C6" i="4" s="1"/>
  <c r="D4" i="4"/>
  <c r="D6" i="4" s="1"/>
  <c r="C4" i="4"/>
  <c r="C7" i="11"/>
  <c r="C3" i="11"/>
  <c r="C6" i="3"/>
  <c r="C10" i="3" s="1"/>
  <c r="C17" i="3" s="1"/>
  <c r="B6" i="3"/>
  <c r="R20" i="3"/>
  <c r="Q13" i="3"/>
  <c r="P13" i="3"/>
  <c r="C15" i="3"/>
  <c r="B15" i="3"/>
  <c r="I32" i="3"/>
  <c r="J5" i="3"/>
  <c r="K5" i="3" s="1"/>
  <c r="L5" i="3" s="1"/>
  <c r="M5" i="3" s="1"/>
  <c r="I5" i="3"/>
  <c r="F5" i="4" l="1"/>
  <c r="D5" i="3"/>
  <c r="C4" i="11"/>
  <c r="D3" i="11"/>
  <c r="D7" i="4"/>
  <c r="D9" i="4" s="1"/>
  <c r="C6" i="11"/>
  <c r="C5" i="11" s="1"/>
  <c r="D5" i="11" s="1"/>
  <c r="C8" i="11"/>
  <c r="C9" i="11" s="1"/>
  <c r="B10" i="3"/>
  <c r="B17" i="3" s="1"/>
  <c r="B23" i="3" s="1"/>
  <c r="J22" i="12"/>
  <c r="J23" i="12" a="1"/>
  <c r="J23" i="12" s="1"/>
  <c r="J33" i="12"/>
  <c r="J21" i="12"/>
  <c r="J32" i="12"/>
  <c r="G6" i="12"/>
  <c r="H8" i="12"/>
  <c r="J8" i="12" s="1" a="1"/>
  <c r="J8" i="12" s="1"/>
  <c r="H7" i="12"/>
  <c r="J7" i="12" s="1" a="1"/>
  <c r="J7" i="12" s="1"/>
  <c r="I9" i="12"/>
  <c r="E5" i="11"/>
  <c r="F5" i="11" s="1"/>
  <c r="C12" i="4"/>
  <c r="C23" i="3"/>
  <c r="Q20" i="3"/>
  <c r="Q4" i="3"/>
  <c r="P4" i="3"/>
  <c r="P9" i="3" s="1"/>
  <c r="J30" i="3"/>
  <c r="I30" i="3"/>
  <c r="J21" i="3"/>
  <c r="J26" i="3" s="1"/>
  <c r="I21" i="3"/>
  <c r="I26" i="3" s="1"/>
  <c r="J11" i="3"/>
  <c r="J15" i="3" s="1"/>
  <c r="J33" i="3" s="1"/>
  <c r="I11" i="3"/>
  <c r="I15" i="3" s="1"/>
  <c r="I33" i="3" s="1"/>
  <c r="E5" i="3" l="1"/>
  <c r="G5" i="4"/>
  <c r="F5" i="3" s="1"/>
  <c r="I6" i="12"/>
  <c r="H6" i="12"/>
  <c r="J6" i="12" s="1" a="1"/>
  <c r="J6" i="12" s="1"/>
  <c r="D6" i="11"/>
  <c r="D4" i="11" s="1"/>
  <c r="D7" i="11" s="1"/>
  <c r="E7" i="4" s="1"/>
  <c r="E9" i="4" s="1"/>
  <c r="K24" i="3" l="1"/>
  <c r="E3" i="11"/>
  <c r="E6" i="11" s="1"/>
  <c r="E4" i="11" s="1"/>
  <c r="E7" i="11" s="1"/>
  <c r="D8" i="11"/>
  <c r="D9" i="11" s="1"/>
  <c r="K32" i="3" l="1"/>
  <c r="F3" i="11"/>
  <c r="F7" i="4"/>
  <c r="F9" i="4" s="1"/>
  <c r="E4" i="4"/>
  <c r="E6" i="4" s="1"/>
  <c r="D4" i="3"/>
  <c r="D6" i="3" s="1"/>
  <c r="F6" i="11"/>
  <c r="F4" i="11" s="1"/>
  <c r="F7" i="11" s="1"/>
  <c r="E8" i="11"/>
  <c r="E9" i="11" s="1"/>
  <c r="L18" i="3" l="1"/>
  <c r="L24" i="3"/>
  <c r="D9" i="3"/>
  <c r="D10" i="3" s="1"/>
  <c r="D14" i="3"/>
  <c r="D13" i="3"/>
  <c r="R12" i="3"/>
  <c r="K20" i="3"/>
  <c r="R6" i="3"/>
  <c r="K28" i="3" s="1"/>
  <c r="K10" i="3"/>
  <c r="D12" i="3"/>
  <c r="R5" i="3"/>
  <c r="K25" i="3"/>
  <c r="K9" i="3"/>
  <c r="F8" i="11"/>
  <c r="F9" i="11" s="1"/>
  <c r="G7" i="4"/>
  <c r="G9" i="4" s="1"/>
  <c r="E4" i="3"/>
  <c r="E6" i="3" s="1"/>
  <c r="F4" i="4"/>
  <c r="F6" i="4" s="1"/>
  <c r="R13" i="3"/>
  <c r="F4" i="3" l="1"/>
  <c r="F6" i="3" s="1"/>
  <c r="G4" i="4"/>
  <c r="G6" i="4" s="1"/>
  <c r="M24" i="3"/>
  <c r="M18" i="3"/>
  <c r="M32" i="3" s="1"/>
  <c r="E9" i="3"/>
  <c r="E10" i="3" s="1"/>
  <c r="S6" i="3"/>
  <c r="L28" i="3" s="1"/>
  <c r="S5" i="3"/>
  <c r="E13" i="3"/>
  <c r="L20" i="3"/>
  <c r="S12" i="3"/>
  <c r="L10" i="3"/>
  <c r="E14" i="3"/>
  <c r="E12" i="3"/>
  <c r="L25" i="3"/>
  <c r="L9" i="3"/>
  <c r="L32" i="3"/>
  <c r="K13" i="3"/>
  <c r="L13" i="3" s="1"/>
  <c r="D15" i="3"/>
  <c r="F9" i="3" l="1"/>
  <c r="F10" i="3" s="1"/>
  <c r="T12" i="3"/>
  <c r="T6" i="3"/>
  <c r="M28" i="3" s="1"/>
  <c r="M10" i="3"/>
  <c r="F14" i="3"/>
  <c r="F12" i="3"/>
  <c r="M20" i="3"/>
  <c r="T5" i="3"/>
  <c r="M25" i="3"/>
  <c r="M9" i="3"/>
  <c r="F13" i="3"/>
  <c r="D17" i="3"/>
  <c r="D23" i="3" s="1"/>
  <c r="D25" i="3" s="1"/>
  <c r="R4" i="3" s="1"/>
  <c r="K29" i="3" s="1"/>
  <c r="M13" i="3" l="1"/>
  <c r="R10" i="3"/>
  <c r="R19" i="3" s="1"/>
  <c r="R21" i="3" s="1"/>
  <c r="K30" i="3"/>
  <c r="S13" i="3"/>
  <c r="K4" i="3" l="1"/>
  <c r="K11" i="3" s="1"/>
  <c r="K15" i="3" s="1"/>
  <c r="S20" i="3"/>
  <c r="E15" i="3"/>
  <c r="E17" i="3" l="1"/>
  <c r="E23" i="3" s="1"/>
  <c r="E25" i="3" s="1"/>
  <c r="S4" i="3" l="1"/>
  <c r="T13" i="3"/>
  <c r="S10" i="3" l="1"/>
  <c r="S19" i="3" s="1"/>
  <c r="S21" i="3" s="1"/>
  <c r="L29" i="3"/>
  <c r="F15" i="3"/>
  <c r="T20" i="3" l="1"/>
  <c r="L4" i="3"/>
  <c r="L11" i="3" s="1"/>
  <c r="L15" i="3" s="1"/>
  <c r="L30" i="3"/>
  <c r="F17" i="3"/>
  <c r="F23" i="3" s="1"/>
  <c r="F25" i="3" s="1"/>
  <c r="T4" i="3" s="1"/>
  <c r="T10" i="3" l="1"/>
  <c r="T19" i="3" s="1"/>
  <c r="T21" i="3" s="1"/>
  <c r="M4" i="3" s="1"/>
  <c r="M11" i="3" s="1"/>
  <c r="M15" i="3" s="1"/>
  <c r="M29" i="3"/>
  <c r="M30" i="3"/>
  <c r="K21" i="3" l="1"/>
  <c r="K26" i="3" s="1"/>
  <c r="K33" i="3" s="1"/>
  <c r="M21" i="3"/>
  <c r="M26" i="3" s="1"/>
  <c r="M33" i="3" s="1"/>
  <c r="L21" i="3" l="1"/>
  <c r="L26" i="3" s="1"/>
  <c r="L3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<sst xmlns="http://schemas.openxmlformats.org/spreadsheetml/2006/main" count="188" uniqueCount="134">
  <si>
    <t>Revenue</t>
  </si>
  <si>
    <t>Cost of Revenue</t>
  </si>
  <si>
    <t>Gross Profit</t>
  </si>
  <si>
    <t>Sales &amp; Marketing</t>
  </si>
  <si>
    <t>Research &amp; Development</t>
  </si>
  <si>
    <t>General &amp; Adminstrative</t>
  </si>
  <si>
    <t>Total Operating Expenses</t>
  </si>
  <si>
    <t>Operating Income (EBIT)</t>
  </si>
  <si>
    <t>Interest Income</t>
  </si>
  <si>
    <t>Interest Expense</t>
  </si>
  <si>
    <t>Other Income / (Expense)</t>
  </si>
  <si>
    <t>Pre-Tax Income</t>
  </si>
  <si>
    <t>Income  Tax Expense</t>
  </si>
  <si>
    <t>Net Income</t>
  </si>
  <si>
    <t>Balance Sheet</t>
  </si>
  <si>
    <t>Cash &amp; Cash Equivalents</t>
  </si>
  <si>
    <t>Short-Term Investments</t>
  </si>
  <si>
    <t>Accounts Receivable</t>
  </si>
  <si>
    <t>Other Current Assets</t>
  </si>
  <si>
    <t>Total Current Assets</t>
  </si>
  <si>
    <t>Property, Plant &amp; Equipment (Net)</t>
  </si>
  <si>
    <t>Other Long-Term Assets</t>
  </si>
  <si>
    <t>Total Assets</t>
  </si>
  <si>
    <t>Accounts Payable</t>
  </si>
  <si>
    <t>Deferred Revenue (Long-Term)</t>
  </si>
  <si>
    <t>Other Current Liabilities</t>
  </si>
  <si>
    <t>Total Current Liabilities</t>
  </si>
  <si>
    <t>Long-Term Debt</t>
  </si>
  <si>
    <t>Other Long-Term Liabilities</t>
  </si>
  <si>
    <t>Total Liabilities</t>
  </si>
  <si>
    <t>Common Stock &amp; APIC</t>
  </si>
  <si>
    <t>Retained Earnings</t>
  </si>
  <si>
    <t>Total Equity</t>
  </si>
  <si>
    <t>Cash Flow Statement</t>
  </si>
  <si>
    <t>Depreciation &amp; Amortization</t>
  </si>
  <si>
    <t>Stock-Based Compensation</t>
  </si>
  <si>
    <t>Changes in Working Capital</t>
  </si>
  <si>
    <t>Cash from Operations</t>
  </si>
  <si>
    <t>Capital Expenditures</t>
  </si>
  <si>
    <t>Cash from Investing</t>
  </si>
  <si>
    <t>Debt Issued / (Repaid)</t>
  </si>
  <si>
    <t>Share-Based Compensation</t>
  </si>
  <si>
    <t>Cash from Financing</t>
  </si>
  <si>
    <t>Net Change in Cash</t>
  </si>
  <si>
    <t>Beginning Cash</t>
  </si>
  <si>
    <t>Ending Cash</t>
  </si>
  <si>
    <t>Income Statement （in Mil.)</t>
  </si>
  <si>
    <t>Deferred Revenue （Current)</t>
  </si>
  <si>
    <t>Debt, Current</t>
  </si>
  <si>
    <t>Restricted Cash</t>
  </si>
  <si>
    <t>Total Deferred Revenue</t>
  </si>
  <si>
    <t>Revenue Build</t>
  </si>
  <si>
    <t>2020 New billings</t>
  </si>
  <si>
    <t>2019 Total Deferred Revenue</t>
  </si>
  <si>
    <t>Income Statement</t>
  </si>
  <si>
    <t>Note: Cash flow simplified; excludes marketable securities, financing activities, and FX impacts</t>
  </si>
  <si>
    <t>check</t>
  </si>
  <si>
    <t>Key Takeaways</t>
  </si>
  <si>
    <t>Subscription Revenue</t>
  </si>
  <si>
    <t>ARR Waterfall</t>
  </si>
  <si>
    <t>Beginning ARR</t>
  </si>
  <si>
    <t>New ARR</t>
  </si>
  <si>
    <t>Expansion ARR</t>
  </si>
  <si>
    <t>Churn ARR</t>
  </si>
  <si>
    <t>Ending ARR</t>
  </si>
  <si>
    <t>Average ARR</t>
  </si>
  <si>
    <t>Forecasted Subscription Revenue</t>
  </si>
  <si>
    <t>Subscription Revnue</t>
  </si>
  <si>
    <t>Professional Services</t>
  </si>
  <si>
    <t>Total Revenue</t>
  </si>
  <si>
    <t>Forecast Logic</t>
  </si>
  <si>
    <t>Ending ARR = Beginning ARR x (1-Churn Rate) + New Bookings</t>
  </si>
  <si>
    <t xml:space="preserve">Churn Rate </t>
  </si>
  <si>
    <t>Bookings Growth</t>
  </si>
  <si>
    <t>One time basis adjustment, we only have revenue data of 2021 and not the ARR data, we will adjust 2022 Beginning ARR = Previous year's Ending ARR*1.1</t>
  </si>
  <si>
    <t>Prof.Services Revenue</t>
  </si>
  <si>
    <t>Prof. Services Growth %</t>
  </si>
  <si>
    <t>Ending ARR (Reference)</t>
  </si>
  <si>
    <t>Deferred Revenue % of ARR</t>
  </si>
  <si>
    <t>Forecasted Deferred Revenue</t>
  </si>
  <si>
    <t>Base</t>
  </si>
  <si>
    <t>Bear</t>
  </si>
  <si>
    <t>Cost of Rev %</t>
  </si>
  <si>
    <t>Bull</t>
  </si>
  <si>
    <t>Live</t>
  </si>
  <si>
    <t>Core Drivers</t>
  </si>
  <si>
    <t>Non-Core Items</t>
  </si>
  <si>
    <t>Tax Rate</t>
  </si>
  <si>
    <t>Share Count Growth</t>
  </si>
  <si>
    <t>Deferred Revenue (Current)</t>
  </si>
  <si>
    <t>DSO (Days Sales Outstanding)</t>
  </si>
  <si>
    <t>historical average of 2020,21, is about 88 days</t>
  </si>
  <si>
    <t>Capex % of Rev</t>
  </si>
  <si>
    <t>Depreciation</t>
  </si>
  <si>
    <t>Other Current Assets (% of Rev)</t>
  </si>
  <si>
    <t>Other Current Liab (% of Rev)</t>
  </si>
  <si>
    <t>SBC % of Rev</t>
  </si>
  <si>
    <t>Restricted Cash &amp; Short-term Investment</t>
  </si>
  <si>
    <t>Flat</t>
  </si>
  <si>
    <t>No Change, equal to previous year</t>
  </si>
  <si>
    <t>Debt (Current &amp; Long-Term)</t>
  </si>
  <si>
    <t>Plug</t>
  </si>
  <si>
    <t>Workday (WDAY) Operating Model Summary</t>
  </si>
  <si>
    <t>1. Revenue Growth Driven by Subscription Momentum (ARR)</t>
  </si>
  <si>
    <t>2. Path to Profitability &amp; Operating Leverage</t>
  </si>
  <si>
    <t>3. Strong Cash Flow Despite GAAP Losses</t>
  </si>
  <si>
    <t>4. Robust Balance Sheet &amp; Liquidity</t>
  </si>
  <si>
    <t>Model Structure &amp; Logic</t>
  </si>
  <si>
    <t>Included:</t>
  </si>
  <si>
    <t>Excluded:</t>
  </si>
  <si>
    <t>Detailed headcount planning (bottom-up).</t>
  </si>
  <si>
    <t>M&amp;A activity or capital structure changes (Debt paydown/refinancing).</t>
  </si>
  <si>
    <t>Key Modeling Assumptions (Base Case)</t>
  </si>
  <si>
    <r>
      <t>Mechanism:</t>
    </r>
    <r>
      <rPr>
        <sz val="11"/>
        <color theme="1"/>
        <rFont val="Aptos Narrow"/>
        <family val="2"/>
        <scheme val="minor"/>
      </rPr>
      <t xml:space="preserve"> Revenue is forecasted using an ARR Waterfall methodology (Booking Growth @ 20%, Churn @ 5%) rather than simple historical trends.</t>
    </r>
  </si>
  <si>
    <r>
      <t>Result:</t>
    </r>
    <r>
      <rPr>
        <sz val="11"/>
        <color theme="1"/>
        <rFont val="Aptos Narrow"/>
        <family val="2"/>
        <scheme val="minor"/>
      </rPr>
      <t xml:space="preserve"> Total Revenue grows from $4.3B (2021) to ~$7.1B (2024), representing a CAGR of ~18%. The model validates that recurring subscription revenue is the primary growth engine.</t>
    </r>
  </si>
  <si>
    <r>
      <t>Dynamics:</t>
    </r>
    <r>
      <rPr>
        <sz val="11"/>
        <color theme="1"/>
        <rFont val="Aptos Narrow"/>
        <family val="2"/>
        <scheme val="minor"/>
      </rPr>
      <t xml:space="preserve"> Operating Expenses (R&amp;D, S&amp;M, G&amp;A) are modeled as a % of Revenue.</t>
    </r>
  </si>
  <si>
    <r>
      <t>Base Case:</t>
    </r>
    <r>
      <rPr>
        <sz val="11"/>
        <color theme="1"/>
        <rFont val="Aptos Narrow"/>
        <family val="2"/>
        <scheme val="minor"/>
      </rPr>
      <t xml:space="preserve"> The model assumes moderate efficiency gains (margins improving ~50 bps annually). While GAAP EBIT remains negative due to high R&amp;D investment, the "Operating Leverage" is visible as expenses grow slower than revenue in the outer years.</t>
    </r>
  </si>
  <si>
    <r>
      <t>Insight:</t>
    </r>
    <r>
      <rPr>
        <sz val="11"/>
        <color theme="1"/>
        <rFont val="Aptos Narrow"/>
        <family val="2"/>
        <scheme val="minor"/>
      </rPr>
      <t xml:space="preserve"> Although Net Income is negative (~$300M-$500M losses), Cash Flow from Operations (CFO) is highly positive and growing ($1.2B -&gt; $1.7B).</t>
    </r>
  </si>
  <si>
    <r>
      <t>Drivers:</t>
    </r>
    <r>
      <rPr>
        <sz val="11"/>
        <color theme="1"/>
        <rFont val="Aptos Narrow"/>
        <family val="2"/>
        <scheme val="minor"/>
      </rPr>
      <t xml:space="preserve"> This divergence is driven by:</t>
    </r>
  </si>
  <si>
    <r>
      <t>Stock-Based Compensation (SBC):</t>
    </r>
    <r>
      <rPr>
        <sz val="11"/>
        <color theme="1"/>
        <rFont val="Aptos Narrow"/>
        <family val="2"/>
        <scheme val="minor"/>
      </rPr>
      <t xml:space="preserve"> A significant non-cash add-back (~$1.7B by 2024).</t>
    </r>
  </si>
  <si>
    <r>
      <t>Deferred Revenue:</t>
    </r>
    <r>
      <rPr>
        <sz val="11"/>
        <color theme="1"/>
        <rFont val="Aptos Narrow"/>
        <family val="2"/>
        <scheme val="minor"/>
      </rPr>
      <t xml:space="preserve"> Strong upfront collections create a favorable working capital cycle (Negative Working Capital dynamic).</t>
    </r>
  </si>
  <si>
    <r>
      <t>Cash Position:</t>
    </r>
    <r>
      <rPr>
        <sz val="11"/>
        <color theme="1"/>
        <rFont val="Aptos Narrow"/>
        <family val="2"/>
        <scheme val="minor"/>
      </rPr>
      <t xml:space="preserve"> Ending Cash balance builds significantly to ~$4.9B by 2024.</t>
    </r>
  </si>
  <si>
    <r>
      <t>Solvency:</t>
    </r>
    <r>
      <rPr>
        <sz val="11"/>
        <color theme="1"/>
        <rFont val="Aptos Narrow"/>
        <family val="2"/>
        <scheme val="minor"/>
      </rPr>
      <t xml:space="preserve"> The company is fully self-funding. The "Check" on the Balance Sheet remains zero without the need for external debt financing, proving the sustainability of the business model.</t>
    </r>
  </si>
  <si>
    <r>
      <t>ARR Waterfall:</t>
    </r>
    <r>
      <rPr>
        <sz val="11"/>
        <color theme="1"/>
        <rFont val="Aptos Narrow"/>
        <family val="2"/>
        <scheme val="minor"/>
      </rPr>
      <t xml:space="preserve"> Beginning ARR + New Bookings - Churn = Ending ARR.</t>
    </r>
  </si>
  <si>
    <r>
      <t>Scenario Analysis:</t>
    </r>
    <r>
      <rPr>
        <sz val="11"/>
        <color theme="1"/>
        <rFont val="Aptos Narrow"/>
        <family val="2"/>
        <scheme val="minor"/>
      </rPr>
      <t xml:space="preserve"> Dynamic toggle (Bear/Base/Bull) controlling OpEx efficiency and Gross Margins.</t>
    </r>
  </si>
  <si>
    <r>
      <t>3-Statement Integration:</t>
    </r>
    <r>
      <rPr>
        <sz val="11"/>
        <color theme="1"/>
        <rFont val="Aptos Narrow"/>
        <family val="2"/>
        <scheme val="minor"/>
      </rPr>
      <t xml:space="preserve"> Full linkage between Income Statement, Balance Sheet, and Cash Flow (including Working Capital and PP&amp;E roll-forwards).</t>
    </r>
  </si>
  <si>
    <r>
      <t>Top Line:</t>
    </r>
    <r>
      <rPr>
        <sz val="11"/>
        <color theme="1"/>
        <rFont val="Aptos Narrow"/>
        <family val="2"/>
        <scheme val="minor"/>
      </rPr>
      <t xml:space="preserve"> New Bookings Growth 20%; Annual Churn Rate 5%.</t>
    </r>
  </si>
  <si>
    <r>
      <t>Cost of Revenue:</t>
    </r>
    <r>
      <rPr>
        <sz val="11"/>
        <color theme="1"/>
        <rFont val="Aptos Narrow"/>
        <family val="2"/>
        <scheme val="minor"/>
      </rPr>
      <t xml:space="preserve"> ~28% of Revenue (Gross Margin ~72%).</t>
    </r>
  </si>
  <si>
    <r>
      <t>OpEx:</t>
    </r>
    <r>
      <rPr>
        <sz val="11"/>
        <color theme="1"/>
        <rFont val="Aptos Narrow"/>
        <family val="2"/>
        <scheme val="minor"/>
      </rPr>
      <t xml:space="preserve"> Assumes annual efficiency improvements (Expenses % of Rev decreases by 0.5% YoY).</t>
    </r>
  </si>
  <si>
    <r>
      <t>Working Capital:</t>
    </r>
    <r>
      <rPr>
        <sz val="11"/>
        <color theme="1"/>
        <rFont val="Aptos Narrow"/>
        <family val="2"/>
        <scheme val="minor"/>
      </rPr>
      <t xml:space="preserve"> DSO ~88 Days; Deferred Revenue maintained at ~55% of ARR.</t>
    </r>
  </si>
  <si>
    <r>
      <t>Capex:</t>
    </r>
    <r>
      <rPr>
        <sz val="11"/>
        <color theme="1"/>
        <rFont val="Aptos Narrow"/>
        <family val="2"/>
        <scheme val="minor"/>
      </rPr>
      <t xml:space="preserve"> Set at ~8% of Revenue to support infrastructure growth.</t>
    </r>
  </si>
  <si>
    <r>
      <t>Overall Conclusion</t>
    </r>
    <r>
      <rPr>
        <sz val="11"/>
        <color theme="1"/>
        <rFont val="Aptos Narrow"/>
        <family val="2"/>
        <scheme val="minor"/>
      </rPr>
      <t xml:space="preserve"> Workday demonstrates the classic "Mature SaaS" profile: structurally high GAAP costs due to R&amp;D and SBC, but exceptional cash generation capabilities. The model confirms that the company can sustain 15-20% top-line growth while accumulating significant cash reserves, justifying the strategic reinvestment in product over immediate accounting profitability.</t>
    </r>
  </si>
  <si>
    <t>This model constructs a dynamic, integrated 3-Statement Operating Model for Workday (2022-2024E). The projection is driven by a "Top-Down" ARR Waterfall for revenue and a "Driver-Based" cost structure to analyze Operating Leverage, Cash Flow generation, and Balance Sheet health under different scenarios (Bear/Base/Bull).</t>
  </si>
  <si>
    <t>Model Objective: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</si>
</sst>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3" borderId="0" xfId="0" applyFill="1"/>
    <xf numFmtId="10" fontId="0" fillId="3" borderId="0" xfId="0" applyNumberFormat="1" applyFill="1"/>
    <xf numFmtId="9" fontId="0" fillId="3" borderId="0" xfId="0" applyNumberFormat="1" applyFill="1"/>
    <xf numFmtId="10" fontId="0" fillId="3" borderId="0" xfId="2" applyNumberFormat="1" applyFont="1" applyFill="1"/>
    <xf numFmtId="164" fontId="0" fillId="4" borderId="0" xfId="1" applyNumberFormat="1" applyFont="1" applyFill="1"/>
    <xf numFmtId="164" fontId="0" fillId="3" borderId="0" xfId="0" applyNumberFormat="1" applyFill="1"/>
    <xf numFmtId="0" fontId="3" fillId="3" borderId="0" xfId="0" applyFont="1" applyFill="1"/>
    <xf numFmtId="164" fontId="0" fillId="3" borderId="0" xfId="1" applyNumberFormat="1" applyFont="1" applyFill="1"/>
    <xf numFmtId="9" fontId="0" fillId="3" borderId="0" xfId="2" applyFont="1" applyFill="1"/>
    <xf numFmtId="164" fontId="2" fillId="3" borderId="0" xfId="0" applyNumberFormat="1" applyFont="1" applyFill="1"/>
    <xf numFmtId="0" fontId="2" fillId="3" borderId="0" xfId="0" applyFont="1" applyFill="1"/>
    <xf numFmtId="164" fontId="2" fillId="3" borderId="0" xfId="1" applyNumberFormat="1" applyFont="1" applyFill="1"/>
    <xf numFmtId="1" fontId="0" fillId="3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3" borderId="0" xfId="0" applyFill="1" applyAlignment="1">
      <alignment horizontal="right"/>
    </xf>
    <xf numFmtId="164" fontId="0" fillId="3" borderId="0" xfId="1" applyNumberFormat="1" applyFont="1" applyFill="1" applyAlignment="1">
      <alignment horizontal="right"/>
    </xf>
    <xf numFmtId="44" fontId="0" fillId="3" borderId="0" xfId="1" applyFont="1" applyFill="1" applyAlignment="1">
      <alignment horizontal="right"/>
    </xf>
    <xf numFmtId="44" fontId="2" fillId="3" borderId="0" xfId="1" applyFont="1" applyFill="1" applyAlignment="1">
      <alignment horizontal="right"/>
    </xf>
    <xf numFmtId="9" fontId="0" fillId="3" borderId="0" xfId="2" applyFont="1" applyFill="1" applyAlignment="1">
      <alignment horizontal="right"/>
    </xf>
    <xf numFmtId="164" fontId="2" fillId="3" borderId="0" xfId="1" applyNumberFormat="1" applyFont="1" applyFill="1" applyAlignment="1">
      <alignment horizontal="right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horizontal="left"/>
    </xf>
    <xf numFmtId="44" fontId="0" fillId="3" borderId="0" xfId="0" applyNumberFormat="1" applyFill="1"/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3" borderId="0" xfId="0" applyFill="1" applyAlignment="1">
      <alignment wrapText="1" shrinkToFit="1"/>
    </xf>
    <xf numFmtId="0" fontId="5" fillId="3" borderId="0" xfId="0" applyFont="1" applyFill="1" applyAlignment="1">
      <alignment vertical="center" wrapText="1" shrinkToFit="1"/>
    </xf>
    <xf numFmtId="0" fontId="4" fillId="3" borderId="0" xfId="0" applyFont="1" applyFill="1" applyAlignment="1">
      <alignment vertical="center" wrapText="1" shrinkToFit="1"/>
    </xf>
    <xf numFmtId="0" fontId="0" fillId="3" borderId="0" xfId="0" applyFont="1" applyFill="1" applyAlignment="1">
      <alignment wrapText="1" shrinkToFit="1"/>
    </xf>
    <xf numFmtId="0" fontId="4" fillId="3" borderId="0" xfId="0" applyFont="1" applyFill="1" applyAlignment="1">
      <alignment wrapText="1" shrinkToFit="1"/>
    </xf>
    <xf numFmtId="0" fontId="2" fillId="3" borderId="0" xfId="0" applyFont="1" applyFill="1" applyAlignment="1">
      <alignment wrapText="1" shrinkToFit="1"/>
    </xf>
    <xf numFmtId="0" fontId="2" fillId="3" borderId="0" xfId="0" applyFont="1" applyFill="1" applyAlignment="1">
      <alignment horizontal="left" vertical="center" wrapText="1" shrinkToFit="1"/>
    </xf>
    <xf numFmtId="0" fontId="0" fillId="3" borderId="0" xfId="0" applyFill="1" applyAlignment="1">
      <alignment horizontal="left" vertical="center" wrapText="1" shrinkToFi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B207-928A-4D7D-BA45-3A964BE2873A}">
  <dimension ref="B2:B38"/>
  <sheetViews>
    <sheetView tabSelected="1" workbookViewId="0">
      <selection activeCell="B8" sqref="B8"/>
    </sheetView>
  </sheetViews>
  <sheetFormatPr defaultRowHeight="14.35" x14ac:dyDescent="0.5"/>
  <cols>
    <col min="1" max="1" width="8.9375" style="30"/>
    <col min="2" max="2" width="128.52734375" style="30" customWidth="1"/>
    <col min="3" max="16384" width="8.9375" style="30"/>
  </cols>
  <sheetData>
    <row r="2" spans="2:2" ht="17.7" x14ac:dyDescent="0.5">
      <c r="B2" s="31" t="s">
        <v>102</v>
      </c>
    </row>
    <row r="3" spans="2:2" ht="17.7" x14ac:dyDescent="0.5">
      <c r="B3" s="31"/>
    </row>
    <row r="4" spans="2:2" ht="18.350000000000001" x14ac:dyDescent="0.5">
      <c r="B4" s="32" t="s">
        <v>133</v>
      </c>
    </row>
    <row r="5" spans="2:2" ht="43" x14ac:dyDescent="0.5">
      <c r="B5" s="33" t="s">
        <v>132</v>
      </c>
    </row>
    <row r="6" spans="2:2" ht="18.350000000000001" x14ac:dyDescent="0.65">
      <c r="B6" s="34" t="s">
        <v>57</v>
      </c>
    </row>
    <row r="7" spans="2:2" x14ac:dyDescent="0.5">
      <c r="B7" s="35" t="s">
        <v>103</v>
      </c>
    </row>
    <row r="8" spans="2:2" x14ac:dyDescent="0.5">
      <c r="B8" s="36" t="s">
        <v>113</v>
      </c>
    </row>
    <row r="9" spans="2:2" ht="28.7" x14ac:dyDescent="0.5">
      <c r="B9" s="36" t="s">
        <v>114</v>
      </c>
    </row>
    <row r="10" spans="2:2" x14ac:dyDescent="0.5">
      <c r="B10" s="35" t="s">
        <v>104</v>
      </c>
    </row>
    <row r="11" spans="2:2" x14ac:dyDescent="0.5">
      <c r="B11" s="36" t="s">
        <v>115</v>
      </c>
    </row>
    <row r="12" spans="2:2" ht="28.7" x14ac:dyDescent="0.5">
      <c r="B12" s="36" t="s">
        <v>116</v>
      </c>
    </row>
    <row r="13" spans="2:2" x14ac:dyDescent="0.5">
      <c r="B13" s="35" t="s">
        <v>105</v>
      </c>
    </row>
    <row r="14" spans="2:2" x14ac:dyDescent="0.5">
      <c r="B14" s="36" t="s">
        <v>117</v>
      </c>
    </row>
    <row r="15" spans="2:2" x14ac:dyDescent="0.5">
      <c r="B15" s="36" t="s">
        <v>118</v>
      </c>
    </row>
    <row r="16" spans="2:2" x14ac:dyDescent="0.5">
      <c r="B16" s="36" t="s">
        <v>119</v>
      </c>
    </row>
    <row r="17" spans="2:2" x14ac:dyDescent="0.5">
      <c r="B17" s="36" t="s">
        <v>120</v>
      </c>
    </row>
    <row r="18" spans="2:2" x14ac:dyDescent="0.5">
      <c r="B18" s="35" t="s">
        <v>106</v>
      </c>
    </row>
    <row r="19" spans="2:2" x14ac:dyDescent="0.5">
      <c r="B19" s="36" t="s">
        <v>121</v>
      </c>
    </row>
    <row r="20" spans="2:2" ht="28.7" x14ac:dyDescent="0.5">
      <c r="B20" s="36" t="s">
        <v>122</v>
      </c>
    </row>
    <row r="22" spans="2:2" ht="18.350000000000001" x14ac:dyDescent="0.65">
      <c r="B22" s="34" t="s">
        <v>107</v>
      </c>
    </row>
    <row r="23" spans="2:2" x14ac:dyDescent="0.5">
      <c r="B23" s="35" t="s">
        <v>108</v>
      </c>
    </row>
    <row r="24" spans="2:2" x14ac:dyDescent="0.5">
      <c r="B24" s="36" t="s">
        <v>123</v>
      </c>
    </row>
    <row r="25" spans="2:2" x14ac:dyDescent="0.5">
      <c r="B25" s="36" t="s">
        <v>124</v>
      </c>
    </row>
    <row r="26" spans="2:2" x14ac:dyDescent="0.5">
      <c r="B26" s="36" t="s">
        <v>125</v>
      </c>
    </row>
    <row r="27" spans="2:2" x14ac:dyDescent="0.5">
      <c r="B27" s="35" t="s">
        <v>109</v>
      </c>
    </row>
    <row r="28" spans="2:2" x14ac:dyDescent="0.5">
      <c r="B28" s="37" t="s">
        <v>110</v>
      </c>
    </row>
    <row r="29" spans="2:2" x14ac:dyDescent="0.5">
      <c r="B29" s="37" t="s">
        <v>111</v>
      </c>
    </row>
    <row r="31" spans="2:2" ht="18.350000000000001" x14ac:dyDescent="0.65">
      <c r="B31" s="34" t="s">
        <v>112</v>
      </c>
    </row>
    <row r="32" spans="2:2" x14ac:dyDescent="0.5">
      <c r="B32" s="36" t="s">
        <v>126</v>
      </c>
    </row>
    <row r="33" spans="2:2" x14ac:dyDescent="0.5">
      <c r="B33" s="36" t="s">
        <v>127</v>
      </c>
    </row>
    <row r="34" spans="2:2" x14ac:dyDescent="0.5">
      <c r="B34" s="36" t="s">
        <v>128</v>
      </c>
    </row>
    <row r="35" spans="2:2" x14ac:dyDescent="0.5">
      <c r="B35" s="36" t="s">
        <v>129</v>
      </c>
    </row>
    <row r="36" spans="2:2" x14ac:dyDescent="0.5">
      <c r="B36" s="36" t="s">
        <v>130</v>
      </c>
    </row>
    <row r="38" spans="2:2" ht="43" x14ac:dyDescent="0.5">
      <c r="B38" s="35" t="s">
        <v>131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5AAE-4235-4233-A368-1145026680AC}">
  <dimension ref="B2:L41"/>
  <sheetViews>
    <sheetView zoomScale="70" zoomScaleNormal="70" workbookViewId="0">
      <selection activeCell="N13" sqref="N13"/>
    </sheetView>
  </sheetViews>
  <sheetFormatPr defaultRowHeight="14.35" x14ac:dyDescent="0.5"/>
  <cols>
    <col min="1" max="1" width="8.9375" style="1"/>
    <col min="2" max="2" width="21.41015625" style="1" customWidth="1"/>
    <col min="3" max="3" width="11.1171875" style="1" bestFit="1" customWidth="1"/>
    <col min="4" max="4" width="7.64453125" style="1" bestFit="1" customWidth="1"/>
    <col min="5" max="5" width="7.1171875" style="1" bestFit="1" customWidth="1"/>
    <col min="6" max="6" width="25.234375" style="1" bestFit="1" customWidth="1"/>
    <col min="7" max="7" width="11.1171875" style="1" bestFit="1" customWidth="1"/>
    <col min="8" max="16384" width="8.9375" style="1"/>
  </cols>
  <sheetData>
    <row r="2" spans="2:10" x14ac:dyDescent="0.5">
      <c r="B2" s="1" t="s">
        <v>80</v>
      </c>
    </row>
    <row r="4" spans="2:10" x14ac:dyDescent="0.5">
      <c r="B4" s="28" t="s">
        <v>54</v>
      </c>
      <c r="C4" s="28"/>
      <c r="D4" s="28"/>
      <c r="F4" s="28" t="s">
        <v>54</v>
      </c>
      <c r="G4" s="28"/>
      <c r="H4" s="28"/>
      <c r="I4" s="28"/>
      <c r="J4" s="28"/>
    </row>
    <row r="5" spans="2:10" x14ac:dyDescent="0.5">
      <c r="C5" s="1">
        <v>2020</v>
      </c>
      <c r="D5" s="1">
        <v>2021</v>
      </c>
      <c r="F5" s="11" t="s">
        <v>85</v>
      </c>
      <c r="G5" s="11" t="s">
        <v>81</v>
      </c>
      <c r="H5" s="11" t="s">
        <v>80</v>
      </c>
      <c r="I5" s="11" t="s">
        <v>83</v>
      </c>
      <c r="J5" s="11" t="s">
        <v>84</v>
      </c>
    </row>
    <row r="6" spans="2:10" x14ac:dyDescent="0.5">
      <c r="B6" s="1" t="s">
        <v>0</v>
      </c>
      <c r="C6" s="8">
        <v>3627</v>
      </c>
      <c r="D6" s="8">
        <v>4318</v>
      </c>
      <c r="F6" s="1" t="s">
        <v>82</v>
      </c>
      <c r="G6" s="4">
        <f>SUM('Financial Statements'!B9:C9)/SUM('Financial Statements'!B6:C6)</f>
        <v>0.28482598680310456</v>
      </c>
      <c r="H6" s="2">
        <f>G6-0.5%</f>
        <v>0.27982598680310455</v>
      </c>
      <c r="I6" s="2">
        <f>G6-1%</f>
        <v>0.27482598680310455</v>
      </c>
      <c r="J6" s="4" cm="1">
        <f t="array" ref="J6">_xlfn.SWITCH($B$2,"Bear",G6,"Base",H6,"Bull",I6)</f>
        <v>0.27982598680310455</v>
      </c>
    </row>
    <row r="7" spans="2:10" x14ac:dyDescent="0.5">
      <c r="B7" s="1" t="s">
        <v>1</v>
      </c>
      <c r="C7" s="8">
        <v>1065</v>
      </c>
      <c r="D7" s="8">
        <v>1198</v>
      </c>
      <c r="F7" s="1" t="s">
        <v>3</v>
      </c>
      <c r="G7" s="2">
        <f>SUM(C10:D10)/SUM($C$6:$D$6)</f>
        <v>0.29943360604153557</v>
      </c>
      <c r="H7" s="2">
        <f t="shared" ref="H7:H9" si="0">G7-0.5%</f>
        <v>0.29443360604153557</v>
      </c>
      <c r="I7" s="2">
        <f t="shared" ref="I7:I9" si="1">G7-1%</f>
        <v>0.28943360604153556</v>
      </c>
      <c r="J7" s="4" cm="1">
        <f t="array" ref="J7">_xlfn.SWITCH($B$2,"Bear",G7,"Base",H7,"Bull",I7)</f>
        <v>0.29443360604153557</v>
      </c>
    </row>
    <row r="8" spans="2:10" x14ac:dyDescent="0.5">
      <c r="B8" s="1" t="s">
        <v>2</v>
      </c>
      <c r="F8" s="1" t="s">
        <v>4</v>
      </c>
      <c r="G8" s="2">
        <f>SUM(C11:D11)/SUM($C$6:$D$6)</f>
        <v>0.4117054751415985</v>
      </c>
      <c r="H8" s="2">
        <f t="shared" si="0"/>
        <v>0.40670547514159849</v>
      </c>
      <c r="I8" s="2">
        <f t="shared" si="1"/>
        <v>0.40170547514159849</v>
      </c>
      <c r="J8" s="4" cm="1">
        <f t="array" ref="J8">_xlfn.SWITCH($B$2,"Bear",G8,"Base",H8,"Bull",I8)</f>
        <v>0.40670547514159849</v>
      </c>
    </row>
    <row r="9" spans="2:10" x14ac:dyDescent="0.5">
      <c r="F9" s="1" t="s">
        <v>5</v>
      </c>
      <c r="G9" s="2">
        <f>SUM(C12:D12)/SUM($C$6:$D$6)</f>
        <v>9.8426683448709876E-2</v>
      </c>
      <c r="H9" s="2">
        <f t="shared" si="0"/>
        <v>9.3426683448709871E-2</v>
      </c>
      <c r="I9" s="2">
        <f t="shared" si="1"/>
        <v>8.8426683448709881E-2</v>
      </c>
      <c r="J9" s="4" cm="1">
        <f t="array" ref="J9">_xlfn.SWITCH($B$2,"Bear",G9,"Base",H9,"Bull",I9)</f>
        <v>9.3426683448709871E-2</v>
      </c>
    </row>
    <row r="10" spans="2:10" x14ac:dyDescent="0.5">
      <c r="B10" s="1" t="s">
        <v>3</v>
      </c>
      <c r="C10" s="8">
        <v>1146</v>
      </c>
      <c r="D10" s="8">
        <v>1233</v>
      </c>
      <c r="F10" s="11" t="s">
        <v>86</v>
      </c>
    </row>
    <row r="11" spans="2:10" x14ac:dyDescent="0.5">
      <c r="B11" s="1" t="s">
        <v>4</v>
      </c>
      <c r="C11" s="8">
        <v>1550</v>
      </c>
      <c r="D11" s="8">
        <v>1721</v>
      </c>
      <c r="F11" s="1" t="s">
        <v>87</v>
      </c>
      <c r="J11" s="9">
        <v>0</v>
      </c>
    </row>
    <row r="12" spans="2:10" x14ac:dyDescent="0.5">
      <c r="B12" s="1" t="s">
        <v>5</v>
      </c>
      <c r="C12" s="8">
        <v>368</v>
      </c>
      <c r="D12" s="8">
        <v>414</v>
      </c>
      <c r="F12" s="1" t="s">
        <v>8</v>
      </c>
      <c r="J12" s="9">
        <v>0</v>
      </c>
    </row>
    <row r="13" spans="2:10" x14ac:dyDescent="0.5">
      <c r="C13" s="8"/>
      <c r="D13" s="8"/>
      <c r="F13" s="1" t="s">
        <v>9</v>
      </c>
      <c r="J13" s="9">
        <v>0</v>
      </c>
    </row>
    <row r="14" spans="2:10" x14ac:dyDescent="0.5">
      <c r="B14" s="1" t="s">
        <v>10</v>
      </c>
      <c r="C14" s="8">
        <v>20</v>
      </c>
      <c r="D14" s="8">
        <v>-27</v>
      </c>
      <c r="F14" s="1" t="s">
        <v>88</v>
      </c>
      <c r="J14" s="9">
        <v>0.01</v>
      </c>
    </row>
    <row r="16" spans="2:10" x14ac:dyDescent="0.5">
      <c r="B16" s="1" t="s">
        <v>11</v>
      </c>
      <c r="F16" s="27" t="s">
        <v>14</v>
      </c>
      <c r="G16" s="27"/>
      <c r="H16" s="27"/>
      <c r="I16" s="27"/>
      <c r="J16" s="27"/>
    </row>
    <row r="17" spans="2:12" x14ac:dyDescent="0.5">
      <c r="B17" s="1" t="s">
        <v>12</v>
      </c>
      <c r="C17" s="8">
        <v>-2</v>
      </c>
      <c r="D17" s="8">
        <v>7</v>
      </c>
      <c r="F17" s="11" t="s">
        <v>85</v>
      </c>
      <c r="G17" s="11" t="s">
        <v>81</v>
      </c>
      <c r="H17" s="11" t="s">
        <v>80</v>
      </c>
      <c r="I17" s="11" t="s">
        <v>83</v>
      </c>
      <c r="J17" s="11" t="s">
        <v>84</v>
      </c>
    </row>
    <row r="18" spans="2:12" x14ac:dyDescent="0.5">
      <c r="B18" s="1" t="s">
        <v>13</v>
      </c>
      <c r="C18" s="8">
        <v>-481</v>
      </c>
      <c r="D18" s="8">
        <v>-282</v>
      </c>
      <c r="F18" s="1" t="s">
        <v>89</v>
      </c>
      <c r="J18" s="3">
        <v>0.95</v>
      </c>
    </row>
    <row r="19" spans="2:12" x14ac:dyDescent="0.5">
      <c r="F19" s="1" t="s">
        <v>24</v>
      </c>
      <c r="J19" s="3">
        <f>1-J18</f>
        <v>5.0000000000000044E-2</v>
      </c>
    </row>
    <row r="20" spans="2:12" x14ac:dyDescent="0.5">
      <c r="F20" s="11" t="s">
        <v>86</v>
      </c>
    </row>
    <row r="21" spans="2:12" x14ac:dyDescent="0.5">
      <c r="B21" s="26" t="s">
        <v>33</v>
      </c>
      <c r="C21" s="26"/>
      <c r="D21" s="26"/>
      <c r="F21" s="1" t="s">
        <v>90</v>
      </c>
      <c r="J21" s="16">
        <f>(SUM('Financial Statements'!I9:J9)/SUM('Financial Statements'!B6:C6))*365</f>
        <v>87.744779805472533</v>
      </c>
      <c r="L21" s="1" t="s">
        <v>91</v>
      </c>
    </row>
    <row r="22" spans="2:12" x14ac:dyDescent="0.5">
      <c r="B22" s="1" t="s">
        <v>13</v>
      </c>
      <c r="C22" s="8">
        <v>-481</v>
      </c>
      <c r="D22" s="8">
        <v>-282</v>
      </c>
      <c r="F22" s="1" t="s">
        <v>94</v>
      </c>
      <c r="J22" s="2">
        <f>SUM('Financial Statements'!I10:J10)/SUM('Financial Statements'!B6:C6)</f>
        <v>6.3686234786730411E-2</v>
      </c>
    </row>
    <row r="23" spans="2:12" x14ac:dyDescent="0.5">
      <c r="B23" s="1" t="s">
        <v>34</v>
      </c>
      <c r="C23" s="8">
        <v>276.27800000000002</v>
      </c>
      <c r="D23" s="8">
        <v>293.65699999999998</v>
      </c>
      <c r="F23" s="1" t="s">
        <v>95</v>
      </c>
      <c r="J23" s="2" cm="1">
        <f t="array" ref="J23">SUM('Financial Statements'!I25:J25/SUM('Financial Statements'!B6:C6))</f>
        <v>8.0803483662215264E-2</v>
      </c>
    </row>
    <row r="24" spans="2:12" x14ac:dyDescent="0.5">
      <c r="B24" s="1" t="s">
        <v>35</v>
      </c>
      <c r="C24" s="8">
        <v>959.57100000000003</v>
      </c>
      <c r="D24" s="8">
        <v>1004.854</v>
      </c>
      <c r="F24" s="11"/>
    </row>
    <row r="25" spans="2:12" x14ac:dyDescent="0.5">
      <c r="B25" s="1" t="s">
        <v>36</v>
      </c>
      <c r="C25" s="8">
        <v>110.04900000000009</v>
      </c>
      <c r="D25" s="8">
        <v>251.93000000000006</v>
      </c>
    </row>
    <row r="26" spans="2:12" x14ac:dyDescent="0.5">
      <c r="B26" s="1" t="s">
        <v>37</v>
      </c>
      <c r="C26" s="8">
        <v>864.89800000000002</v>
      </c>
      <c r="D26" s="8">
        <v>1268.441</v>
      </c>
    </row>
    <row r="27" spans="2:12" x14ac:dyDescent="0.5">
      <c r="C27" s="8"/>
      <c r="D27" s="8"/>
    </row>
    <row r="28" spans="2:12" x14ac:dyDescent="0.5">
      <c r="B28" s="1" t="s">
        <v>38</v>
      </c>
      <c r="C28" s="8">
        <v>-243.69399999999999</v>
      </c>
      <c r="D28" s="8">
        <v>-253.38</v>
      </c>
    </row>
    <row r="29" spans="2:12" x14ac:dyDescent="0.5">
      <c r="B29" s="1" t="s">
        <v>39</v>
      </c>
      <c r="C29" s="8"/>
      <c r="D29" s="8"/>
      <c r="F29" s="26" t="s">
        <v>33</v>
      </c>
      <c r="G29" s="26"/>
      <c r="H29" s="26"/>
      <c r="I29" s="26"/>
      <c r="J29" s="26"/>
    </row>
    <row r="30" spans="2:12" x14ac:dyDescent="0.5">
      <c r="C30" s="8"/>
      <c r="D30" s="8"/>
      <c r="F30" s="11" t="s">
        <v>85</v>
      </c>
      <c r="G30" s="11" t="s">
        <v>81</v>
      </c>
      <c r="H30" s="11" t="s">
        <v>80</v>
      </c>
      <c r="I30" s="11" t="s">
        <v>83</v>
      </c>
      <c r="J30" s="11" t="s">
        <v>84</v>
      </c>
    </row>
    <row r="31" spans="2:12" x14ac:dyDescent="0.5">
      <c r="B31" s="1" t="s">
        <v>40</v>
      </c>
      <c r="C31" s="8"/>
      <c r="D31" s="8"/>
      <c r="F31" s="1" t="s">
        <v>92</v>
      </c>
      <c r="J31" s="2">
        <v>0.08</v>
      </c>
    </row>
    <row r="32" spans="2:12" x14ac:dyDescent="0.5">
      <c r="B32" s="1" t="s">
        <v>41</v>
      </c>
      <c r="C32" s="8"/>
      <c r="D32" s="8"/>
      <c r="F32" s="1" t="s">
        <v>93</v>
      </c>
      <c r="J32" s="4">
        <f>SUM('Financial Statements'!P5:Q5)/SUM('Financial Statements'!B6:C6)</f>
        <v>7.1733229690069539E-2</v>
      </c>
    </row>
    <row r="33" spans="2:12" x14ac:dyDescent="0.5">
      <c r="B33" s="1" t="s">
        <v>42</v>
      </c>
      <c r="C33" s="8"/>
      <c r="D33" s="8"/>
      <c r="F33" s="1" t="s">
        <v>96</v>
      </c>
      <c r="J33" s="4">
        <f>SUM('Financial Statements'!P6:Q6)/SUM('Financial Statements'!B6:C6)</f>
        <v>0.24724670310459068</v>
      </c>
    </row>
    <row r="34" spans="2:12" x14ac:dyDescent="0.5">
      <c r="C34" s="8"/>
      <c r="D34" s="8"/>
      <c r="F34" s="11" t="s">
        <v>86</v>
      </c>
    </row>
    <row r="35" spans="2:12" x14ac:dyDescent="0.5">
      <c r="B35" s="1" t="s">
        <v>43</v>
      </c>
      <c r="C35" s="8"/>
      <c r="D35" s="8"/>
      <c r="F35" s="1" t="s">
        <v>97</v>
      </c>
      <c r="J35" s="1" t="s">
        <v>98</v>
      </c>
    </row>
    <row r="36" spans="2:12" x14ac:dyDescent="0.5">
      <c r="B36" s="1" t="s">
        <v>44</v>
      </c>
      <c r="C36" s="8">
        <v>642.20299999999997</v>
      </c>
      <c r="D36" s="8">
        <v>734.721</v>
      </c>
      <c r="F36" s="1" t="s">
        <v>21</v>
      </c>
      <c r="J36" s="1" t="s">
        <v>98</v>
      </c>
      <c r="L36" s="1" t="s">
        <v>99</v>
      </c>
    </row>
    <row r="37" spans="2:12" x14ac:dyDescent="0.5">
      <c r="B37" s="1" t="s">
        <v>45</v>
      </c>
      <c r="C37" s="8">
        <v>734.721</v>
      </c>
      <c r="D37" s="8">
        <v>1387.921</v>
      </c>
      <c r="F37" s="1" t="s">
        <v>23</v>
      </c>
      <c r="J37" s="1" t="s">
        <v>98</v>
      </c>
    </row>
    <row r="38" spans="2:12" x14ac:dyDescent="0.5">
      <c r="F38" s="1" t="s">
        <v>100</v>
      </c>
      <c r="J38" s="1" t="s">
        <v>98</v>
      </c>
    </row>
    <row r="39" spans="2:12" x14ac:dyDescent="0.5">
      <c r="B39"/>
      <c r="C39"/>
      <c r="D39"/>
      <c r="F39" s="1" t="s">
        <v>25</v>
      </c>
    </row>
    <row r="40" spans="2:12" x14ac:dyDescent="0.5">
      <c r="B40"/>
      <c r="C40"/>
      <c r="D40"/>
    </row>
    <row r="41" spans="2:12" x14ac:dyDescent="0.5">
      <c r="B41"/>
      <c r="C41"/>
      <c r="D41"/>
    </row>
  </sheetData>
  <mergeCells count="5">
    <mergeCell ref="F29:J29"/>
    <mergeCell ref="F16:J16"/>
    <mergeCell ref="B4:D4"/>
    <mergeCell ref="B21:D21"/>
    <mergeCell ref="F4:J4"/>
  </mergeCells>
  <dataValidations disablePrompts="1" count="1">
    <dataValidation type="list" showInputMessage="1" showErrorMessage="1" sqref="B2" xr:uid="{78066676-8D1C-46BE-BC28-FDA7E40D147B}">
      <formula1>"Bear,Base,Bull"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BA30-2955-4BD0-B884-98BB40B3B67B}">
  <dimension ref="A2:W39"/>
  <sheetViews>
    <sheetView zoomScale="85" zoomScaleNormal="85" workbookViewId="0">
      <selection activeCell="U33" sqref="U33"/>
    </sheetView>
  </sheetViews>
  <sheetFormatPr defaultColWidth="8.87890625" defaultRowHeight="14.35" x14ac:dyDescent="0.5"/>
  <cols>
    <col min="1" max="1" width="22.87890625" style="1" bestFit="1" customWidth="1"/>
    <col min="2" max="3" width="10.234375" style="1" bestFit="1" customWidth="1"/>
    <col min="4" max="6" width="8.87890625" style="1"/>
    <col min="7" max="7" width="2.1171875" style="1" customWidth="1"/>
    <col min="8" max="8" width="30.1171875" style="1" bestFit="1" customWidth="1"/>
    <col min="9" max="10" width="11" style="1" bestFit="1" customWidth="1"/>
    <col min="11" max="13" width="9" style="1" bestFit="1" customWidth="1"/>
    <col min="14" max="14" width="1.64453125" style="1" customWidth="1"/>
    <col min="15" max="15" width="25.52734375" style="1" bestFit="1" customWidth="1"/>
    <col min="16" max="16" width="9.41015625" style="1" bestFit="1" customWidth="1"/>
    <col min="17" max="17" width="10.234375" style="1" bestFit="1" customWidth="1"/>
    <col min="18" max="20" width="9" style="1" bestFit="1" customWidth="1"/>
    <col min="21" max="16384" width="8.87890625" style="1"/>
  </cols>
  <sheetData>
    <row r="2" spans="1:23" x14ac:dyDescent="0.5">
      <c r="A2" s="28" t="s">
        <v>46</v>
      </c>
      <c r="B2" s="28"/>
      <c r="C2" s="28"/>
      <c r="D2" s="28"/>
      <c r="E2" s="28"/>
      <c r="F2" s="28"/>
      <c r="H2" s="27" t="s">
        <v>14</v>
      </c>
      <c r="I2" s="27"/>
      <c r="J2" s="27"/>
      <c r="K2" s="27"/>
      <c r="L2" s="27"/>
      <c r="M2" s="27"/>
      <c r="O2" s="26" t="s">
        <v>33</v>
      </c>
      <c r="P2" s="26"/>
      <c r="Q2" s="26"/>
      <c r="R2" s="26"/>
      <c r="S2" s="26"/>
      <c r="T2" s="26"/>
    </row>
    <row r="3" spans="1:23" x14ac:dyDescent="0.5">
      <c r="B3" s="1">
        <v>2020</v>
      </c>
      <c r="C3" s="1">
        <v>2021</v>
      </c>
      <c r="D3" s="1">
        <v>2022</v>
      </c>
      <c r="E3" s="1">
        <v>2023</v>
      </c>
      <c r="F3" s="1">
        <v>2024</v>
      </c>
      <c r="I3" s="1">
        <v>2020</v>
      </c>
      <c r="J3" s="1">
        <v>2021</v>
      </c>
      <c r="K3" s="1">
        <v>2022</v>
      </c>
      <c r="L3" s="1">
        <v>2023</v>
      </c>
      <c r="M3" s="1">
        <v>2024</v>
      </c>
      <c r="P3" s="1">
        <v>2020</v>
      </c>
      <c r="Q3" s="1">
        <v>2021</v>
      </c>
      <c r="R3" s="1">
        <v>2022</v>
      </c>
      <c r="S3" s="1">
        <v>2023</v>
      </c>
      <c r="T3" s="1">
        <v>2024</v>
      </c>
    </row>
    <row r="4" spans="1:23" x14ac:dyDescent="0.5">
      <c r="A4" s="1" t="s">
        <v>67</v>
      </c>
      <c r="B4" s="13">
        <v>3096.3890000000001</v>
      </c>
      <c r="C4" s="13">
        <v>3788.4520000000002</v>
      </c>
      <c r="D4" s="14">
        <f>'ARR WaterFall'!D9</f>
        <v>4571.2442400000009</v>
      </c>
      <c r="E4" s="14">
        <f>'ARR WaterFall'!E9</f>
        <v>5460.5668620000015</v>
      </c>
      <c r="F4" s="14">
        <f>'ARR WaterFall'!F9</f>
        <v>6529.0003197000005</v>
      </c>
      <c r="H4" s="1" t="s">
        <v>15</v>
      </c>
      <c r="I4" s="8">
        <v>731</v>
      </c>
      <c r="J4" s="8">
        <v>1384</v>
      </c>
      <c r="K4" s="8">
        <f>R21</f>
        <v>1927.6516145838643</v>
      </c>
      <c r="L4" s="8">
        <f t="shared" ref="L4:M4" si="0">S21</f>
        <v>3325.7317233638637</v>
      </c>
      <c r="M4" s="8">
        <f t="shared" si="0"/>
        <v>4986.2013561370786</v>
      </c>
      <c r="O4" s="1" t="s">
        <v>13</v>
      </c>
      <c r="P4" s="8">
        <f>B25</f>
        <v>-481</v>
      </c>
      <c r="Q4" s="8">
        <f>C25</f>
        <v>-282</v>
      </c>
      <c r="R4" s="8">
        <f>D25</f>
        <v>-381.42625615348197</v>
      </c>
      <c r="S4" s="8">
        <f>E25</f>
        <v>-449.65269313993031</v>
      </c>
      <c r="T4" s="8">
        <f>F25</f>
        <v>-531.30690737233635</v>
      </c>
    </row>
    <row r="5" spans="1:23" x14ac:dyDescent="0.5">
      <c r="A5" s="1" t="s">
        <v>68</v>
      </c>
      <c r="B5" s="13">
        <v>530.81700000000001</v>
      </c>
      <c r="C5" s="13">
        <v>529.54399999999998</v>
      </c>
      <c r="D5" s="14">
        <f>Revenue_Build!E5</f>
        <v>556.02120000000002</v>
      </c>
      <c r="E5" s="14">
        <f>Revenue_Build!F5</f>
        <v>583.82226000000003</v>
      </c>
      <c r="F5" s="14">
        <f>Revenue_Build!G5</f>
        <v>613.013373</v>
      </c>
      <c r="H5" s="1" t="s">
        <v>49</v>
      </c>
      <c r="I5" s="6">
        <f>P21-I4</f>
        <v>3.7210000000000036</v>
      </c>
      <c r="J5" s="6">
        <f>Q21-J4</f>
        <v>3.9210000000000491</v>
      </c>
      <c r="K5" s="6">
        <f>J5</f>
        <v>3.9210000000000491</v>
      </c>
      <c r="L5" s="6">
        <f t="shared" ref="L5:M5" si="1">K5</f>
        <v>3.9210000000000491</v>
      </c>
      <c r="M5" s="6">
        <f t="shared" si="1"/>
        <v>3.9210000000000491</v>
      </c>
      <c r="O5" s="1" t="s">
        <v>34</v>
      </c>
      <c r="P5" s="8">
        <v>276.27800000000002</v>
      </c>
      <c r="Q5" s="8">
        <v>293.65699999999998</v>
      </c>
      <c r="R5" s="5">
        <f>D6*'New Assumptions'!$J$32</f>
        <v>367.79530948947553</v>
      </c>
      <c r="S5" s="5">
        <f>E6*'New Assumptions'!$J$32</f>
        <v>433.58355322458385</v>
      </c>
      <c r="T5" s="5">
        <f>F6*'New Assumptions'!$J$32</f>
        <v>512.3197086680708</v>
      </c>
    </row>
    <row r="6" spans="1:23" x14ac:dyDescent="0.5">
      <c r="A6" s="11" t="s">
        <v>69</v>
      </c>
      <c r="B6" s="12">
        <f>SUM(B4:B5)</f>
        <v>3627.2060000000001</v>
      </c>
      <c r="C6" s="12">
        <f>SUM(C4:C5)</f>
        <v>4317.9960000000001</v>
      </c>
      <c r="D6" s="12">
        <f t="shared" ref="D6:F6" si="2">SUM(D4:D5)</f>
        <v>5127.265440000001</v>
      </c>
      <c r="E6" s="12">
        <f t="shared" si="2"/>
        <v>6044.3891220000014</v>
      </c>
      <c r="F6" s="12">
        <f t="shared" si="2"/>
        <v>7142.0136927000003</v>
      </c>
      <c r="H6" s="1" t="s">
        <v>16</v>
      </c>
      <c r="I6" s="8">
        <v>1213</v>
      </c>
      <c r="J6" s="8">
        <v>2151</v>
      </c>
      <c r="K6" s="8">
        <f>J6</f>
        <v>2151</v>
      </c>
      <c r="L6" s="8">
        <f t="shared" ref="L6:M6" si="3">K6</f>
        <v>2151</v>
      </c>
      <c r="M6" s="8">
        <f t="shared" si="3"/>
        <v>2151</v>
      </c>
      <c r="O6" s="1" t="s">
        <v>35</v>
      </c>
      <c r="P6" s="8">
        <v>959.57100000000003</v>
      </c>
      <c r="Q6" s="8">
        <v>1004.854</v>
      </c>
      <c r="R6" s="5">
        <f>D6*'New Assumptions'!$J$33</f>
        <v>1267.6994759821087</v>
      </c>
      <c r="S6" s="5">
        <f>E6*'New Assumptions'!$J$33</f>
        <v>1494.455282695752</v>
      </c>
      <c r="T6" s="5">
        <f>F6*'New Assumptions'!$J$33</f>
        <v>1765.8393390479184</v>
      </c>
    </row>
    <row r="7" spans="1:23" x14ac:dyDescent="0.5">
      <c r="B7" s="8"/>
      <c r="C7" s="8"/>
      <c r="D7" s="8"/>
      <c r="E7" s="8"/>
      <c r="F7" s="8"/>
      <c r="I7" s="8"/>
      <c r="J7" s="8"/>
      <c r="K7" s="8"/>
      <c r="L7" s="8"/>
      <c r="M7" s="8"/>
      <c r="P7" s="8"/>
      <c r="Q7" s="8"/>
      <c r="R7" s="8"/>
      <c r="S7" s="8"/>
      <c r="T7" s="8"/>
    </row>
    <row r="8" spans="1:23" x14ac:dyDescent="0.5">
      <c r="B8" s="8"/>
      <c r="C8" s="8"/>
      <c r="D8" s="8"/>
      <c r="E8" s="8"/>
      <c r="F8" s="8"/>
      <c r="I8" s="8"/>
      <c r="J8" s="8"/>
      <c r="K8" s="8"/>
      <c r="L8" s="8"/>
      <c r="M8" s="8"/>
      <c r="P8" s="8"/>
      <c r="Q8" s="8"/>
      <c r="R8" s="8"/>
      <c r="S8" s="8"/>
      <c r="T8" s="8"/>
    </row>
    <row r="9" spans="1:23" x14ac:dyDescent="0.5">
      <c r="A9" s="1" t="s">
        <v>1</v>
      </c>
      <c r="B9" s="8">
        <v>1065</v>
      </c>
      <c r="C9" s="8">
        <v>1198</v>
      </c>
      <c r="D9" s="5">
        <f>'New Assumptions'!$J$6*'Financial Statements'!D6</f>
        <v>1434.7421113494543</v>
      </c>
      <c r="E9" s="5">
        <f>'New Assumptions'!$J$6*'Financial Statements'!E6</f>
        <v>1691.377150685601</v>
      </c>
      <c r="F9" s="5">
        <f>'New Assumptions'!$J$6*'Financial Statements'!F6</f>
        <v>1998.5210293210623</v>
      </c>
      <c r="H9" s="1" t="s">
        <v>17</v>
      </c>
      <c r="I9" s="8">
        <v>878</v>
      </c>
      <c r="J9" s="8">
        <v>1032</v>
      </c>
      <c r="K9" s="5">
        <f>(D6/365)*'New Assumptions'!$J$21</f>
        <v>1232.5774713342721</v>
      </c>
      <c r="L9" s="5">
        <f>(E6/365)*'New Assumptions'!$J$21</f>
        <v>1453.0509385437906</v>
      </c>
      <c r="M9" s="5">
        <f>(F6/365)*'New Assumptions'!$J$21</f>
        <v>1716.9162159825514</v>
      </c>
      <c r="O9" s="1" t="s">
        <v>36</v>
      </c>
      <c r="P9" s="8">
        <f>P10-P4-P5-P6</f>
        <v>110.04900000000009</v>
      </c>
      <c r="Q9" s="8">
        <f t="shared" ref="Q9" si="4">Q10-Q4-Q5-Q6</f>
        <v>251.93000000000006</v>
      </c>
      <c r="R9" s="8">
        <f>(J9-K9)+(J10-K10)+(K17-J17)+(K32-J32)+(K20-J20)+(K25-J25)</f>
        <v>-304.15667953423781</v>
      </c>
      <c r="S9" s="8">
        <f t="shared" ref="S9:T9" si="5">(K9-L9)+(K10-L10)+(L17-K17)+(L32-K32)+(L20-K20)+(L25-K25)</f>
        <v>403.24509575959405</v>
      </c>
      <c r="T9" s="8">
        <f t="shared" si="5"/>
        <v>484.97858784556155</v>
      </c>
    </row>
    <row r="10" spans="1:23" x14ac:dyDescent="0.5">
      <c r="A10" s="1" t="s">
        <v>2</v>
      </c>
      <c r="B10" s="6">
        <f>B6-B9</f>
        <v>2562.2060000000001</v>
      </c>
      <c r="C10" s="6">
        <f t="shared" ref="C10:F10" si="6">C6-C9</f>
        <v>3119.9960000000001</v>
      </c>
      <c r="D10" s="6">
        <f t="shared" si="6"/>
        <v>3692.5233286505468</v>
      </c>
      <c r="E10" s="6">
        <f t="shared" si="6"/>
        <v>4353.0119713144004</v>
      </c>
      <c r="F10" s="6">
        <f t="shared" si="6"/>
        <v>5143.4926633789382</v>
      </c>
      <c r="H10" s="1" t="s">
        <v>18</v>
      </c>
      <c r="I10" s="8">
        <v>272</v>
      </c>
      <c r="J10" s="8">
        <v>234</v>
      </c>
      <c r="K10" s="5">
        <f>D6*'New Assumptions'!$J$22</f>
        <v>326.53623062572865</v>
      </c>
      <c r="L10" s="5">
        <f>E6*'New Assumptions'!$J$22</f>
        <v>384.94438476605137</v>
      </c>
      <c r="M10" s="5">
        <f>F6*'New Assumptions'!$J$22</f>
        <v>454.8479608833357</v>
      </c>
      <c r="O10" s="1" t="s">
        <v>37</v>
      </c>
      <c r="P10" s="8">
        <v>864.89800000000002</v>
      </c>
      <c r="Q10" s="8">
        <v>1268.441</v>
      </c>
      <c r="R10" s="8">
        <f>SUM(R4:R9)</f>
        <v>949.91184978386445</v>
      </c>
      <c r="S10" s="8">
        <f t="shared" ref="S10:T10" si="7">SUM(S4:S9)</f>
        <v>1881.6312385399995</v>
      </c>
      <c r="T10" s="8">
        <f t="shared" si="7"/>
        <v>2231.8307281892144</v>
      </c>
    </row>
    <row r="11" spans="1:23" x14ac:dyDescent="0.5">
      <c r="H11" s="11" t="s">
        <v>19</v>
      </c>
      <c r="I11" s="12">
        <f>SUM(I4:I10)</f>
        <v>3097.721</v>
      </c>
      <c r="J11" s="12">
        <f>SUM(J4:J10)</f>
        <v>4804.9210000000003</v>
      </c>
      <c r="K11" s="12">
        <f>SUM(K4:K10)</f>
        <v>5641.6863165438645</v>
      </c>
      <c r="L11" s="12">
        <f>SUM(L4:L10)</f>
        <v>7318.6480466737057</v>
      </c>
      <c r="M11" s="12">
        <f>SUM(M4:M10)</f>
        <v>9312.8865330029657</v>
      </c>
      <c r="W11" s="25"/>
    </row>
    <row r="12" spans="1:23" x14ac:dyDescent="0.5">
      <c r="A12" s="1" t="s">
        <v>3</v>
      </c>
      <c r="B12" s="8">
        <v>1146</v>
      </c>
      <c r="C12" s="8">
        <v>1233</v>
      </c>
      <c r="D12" s="5">
        <f>D$6*'New Assumptions'!$J7</f>
        <v>1509.6392526313409</v>
      </c>
      <c r="E12" s="5">
        <f>E$6*'New Assumptions'!$J7</f>
        <v>1779.6712855086914</v>
      </c>
      <c r="F12" s="5">
        <f>F$6*'New Assumptions'!$J7</f>
        <v>2102.8488459396845</v>
      </c>
      <c r="O12" s="1" t="s">
        <v>38</v>
      </c>
      <c r="P12" s="8">
        <v>-243.69399999999999</v>
      </c>
      <c r="Q12" s="8">
        <v>-253.38</v>
      </c>
      <c r="R12" s="5">
        <f>-D6*'New Assumptions'!$J$31</f>
        <v>-410.18123520000012</v>
      </c>
      <c r="S12" s="5">
        <f>-E6*'New Assumptions'!$J$31</f>
        <v>-483.55112976000009</v>
      </c>
      <c r="T12" s="5">
        <f>-F6*'New Assumptions'!$J$31</f>
        <v>-571.36109541600001</v>
      </c>
    </row>
    <row r="13" spans="1:23" x14ac:dyDescent="0.5">
      <c r="A13" s="1" t="s">
        <v>4</v>
      </c>
      <c r="B13" s="8">
        <v>1550</v>
      </c>
      <c r="C13" s="8">
        <v>1721</v>
      </c>
      <c r="D13" s="5">
        <f>D$6*'New Assumptions'!$J8</f>
        <v>2085.2869269522976</v>
      </c>
      <c r="E13" s="5">
        <f>E$6*'New Assumptions'!$J8</f>
        <v>2458.28614980372</v>
      </c>
      <c r="F13" s="5">
        <f>F$6*'New Assumptions'!$J8</f>
        <v>2904.6960723573561</v>
      </c>
      <c r="H13" s="1" t="s">
        <v>20</v>
      </c>
      <c r="I13" s="8">
        <v>936</v>
      </c>
      <c r="J13" s="8">
        <v>972</v>
      </c>
      <c r="K13" s="8">
        <f>J13-R12-R5</f>
        <v>1014.3859257105246</v>
      </c>
      <c r="L13" s="8">
        <f t="shared" ref="L13:M13" si="8">K13-S12-S5</f>
        <v>1064.3535022459409</v>
      </c>
      <c r="M13" s="8">
        <f t="shared" si="8"/>
        <v>1123.3948889938702</v>
      </c>
      <c r="O13" s="1" t="s">
        <v>39</v>
      </c>
      <c r="P13" s="8">
        <f>P12</f>
        <v>-243.69399999999999</v>
      </c>
      <c r="Q13" s="8">
        <f t="shared" ref="Q13:T13" si="9">Q12</f>
        <v>-253.38</v>
      </c>
      <c r="R13" s="8">
        <f t="shared" si="9"/>
        <v>-410.18123520000012</v>
      </c>
      <c r="S13" s="8">
        <f t="shared" si="9"/>
        <v>-483.55112976000009</v>
      </c>
      <c r="T13" s="8">
        <f t="shared" si="9"/>
        <v>-571.36109541600001</v>
      </c>
    </row>
    <row r="14" spans="1:23" x14ac:dyDescent="0.5">
      <c r="A14" s="1" t="s">
        <v>5</v>
      </c>
      <c r="B14" s="8">
        <v>368</v>
      </c>
      <c r="C14" s="8">
        <v>414</v>
      </c>
      <c r="D14" s="5">
        <f>D$6*'New Assumptions'!$J9</f>
        <v>479.02340522039026</v>
      </c>
      <c r="E14" s="5">
        <f>E$6*'New Assumptions'!$J9</f>
        <v>564.70722914191947</v>
      </c>
      <c r="F14" s="5">
        <f>F$6*'New Assumptions'!$J9</f>
        <v>667.25465245423436</v>
      </c>
      <c r="H14" s="1" t="s">
        <v>21</v>
      </c>
      <c r="I14" s="8">
        <v>2784</v>
      </c>
      <c r="J14" s="8">
        <f>2945+571</f>
        <v>3516</v>
      </c>
      <c r="K14" s="8">
        <f>J14</f>
        <v>3516</v>
      </c>
      <c r="L14" s="8">
        <f t="shared" ref="L14:M14" si="10">K14</f>
        <v>3516</v>
      </c>
      <c r="M14" s="8">
        <f t="shared" si="10"/>
        <v>3516</v>
      </c>
    </row>
    <row r="15" spans="1:23" x14ac:dyDescent="0.5">
      <c r="A15" s="1" t="s">
        <v>6</v>
      </c>
      <c r="B15" s="10">
        <f>B12+B13+B14</f>
        <v>3064</v>
      </c>
      <c r="C15" s="10">
        <f t="shared" ref="C15:F15" si="11">C12+C13+C14</f>
        <v>3368</v>
      </c>
      <c r="D15" s="10">
        <f t="shared" si="11"/>
        <v>4073.9495848040287</v>
      </c>
      <c r="E15" s="10">
        <f t="shared" si="11"/>
        <v>4802.6646644543307</v>
      </c>
      <c r="F15" s="10">
        <f t="shared" si="11"/>
        <v>5674.7995707512746</v>
      </c>
      <c r="H15" s="11" t="s">
        <v>22</v>
      </c>
      <c r="I15" s="12">
        <f>SUM(I11:I14)</f>
        <v>6817.7209999999995</v>
      </c>
      <c r="J15" s="12">
        <f t="shared" ref="J15:M15" si="12">SUM(J11:J14)</f>
        <v>9292.9210000000003</v>
      </c>
      <c r="K15" s="12">
        <f t="shared" si="12"/>
        <v>10172.072242254389</v>
      </c>
      <c r="L15" s="12">
        <f t="shared" si="12"/>
        <v>11899.001548919647</v>
      </c>
      <c r="M15" s="12">
        <f t="shared" si="12"/>
        <v>13952.281421996835</v>
      </c>
      <c r="O15" s="1" t="s">
        <v>40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</row>
    <row r="16" spans="1:23" x14ac:dyDescent="0.5">
      <c r="O16" s="1" t="s">
        <v>41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</row>
    <row r="17" spans="1:20" x14ac:dyDescent="0.5">
      <c r="A17" s="1" t="s">
        <v>7</v>
      </c>
      <c r="B17" s="6">
        <f>B10-B15</f>
        <v>-501.79399999999987</v>
      </c>
      <c r="C17" s="6">
        <f>C10-C15</f>
        <v>-248.00399999999991</v>
      </c>
      <c r="D17" s="6">
        <f>D10-D15</f>
        <v>-381.42625615348197</v>
      </c>
      <c r="E17" s="6">
        <f t="shared" ref="E17:F17" si="13">E10-E15</f>
        <v>-449.65269313993031</v>
      </c>
      <c r="F17" s="6">
        <f t="shared" si="13"/>
        <v>-531.30690737233635</v>
      </c>
      <c r="H17" s="1" t="s">
        <v>23</v>
      </c>
      <c r="I17" s="8">
        <v>58</v>
      </c>
      <c r="J17" s="8">
        <v>76</v>
      </c>
      <c r="K17" s="8">
        <f>J17</f>
        <v>76</v>
      </c>
      <c r="L17" s="8">
        <f t="shared" ref="L17:M17" si="14">K17</f>
        <v>76</v>
      </c>
      <c r="M17" s="8">
        <f t="shared" si="14"/>
        <v>76</v>
      </c>
      <c r="O17" s="1" t="s">
        <v>42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</row>
    <row r="18" spans="1:20" x14ac:dyDescent="0.5">
      <c r="H18" s="1" t="s">
        <v>47</v>
      </c>
      <c r="I18" s="8">
        <v>2223</v>
      </c>
      <c r="J18" s="8">
        <v>2557</v>
      </c>
      <c r="K18" s="5">
        <f>Revenue_Build!E9*'New Assumptions'!$J$18</f>
        <v>2599.5374438000008</v>
      </c>
      <c r="L18" s="5">
        <f>Revenue_Build!F9*'New Assumptions'!$J$18</f>
        <v>3106.7549269900005</v>
      </c>
      <c r="M18" s="5">
        <f>Revenue_Build!G9*'New Assumptions'!$J$18</f>
        <v>3716.0504070965003</v>
      </c>
    </row>
    <row r="19" spans="1:20" x14ac:dyDescent="0.5">
      <c r="A19" s="1" t="s">
        <v>8</v>
      </c>
      <c r="B19" s="8">
        <v>0</v>
      </c>
      <c r="C19" s="8">
        <v>0</v>
      </c>
      <c r="D19" s="8">
        <v>0</v>
      </c>
      <c r="E19" s="8">
        <v>0</v>
      </c>
      <c r="F19" s="8">
        <v>0</v>
      </c>
      <c r="H19" s="1" t="s">
        <v>48</v>
      </c>
      <c r="I19" s="8">
        <v>244</v>
      </c>
      <c r="J19" s="8">
        <v>1103</v>
      </c>
      <c r="K19" s="8">
        <f>J19</f>
        <v>1103</v>
      </c>
      <c r="L19" s="8">
        <f t="shared" ref="L19:M19" si="15">K19</f>
        <v>1103</v>
      </c>
      <c r="M19" s="8">
        <f t="shared" si="15"/>
        <v>1103</v>
      </c>
      <c r="O19" s="1" t="s">
        <v>43</v>
      </c>
      <c r="P19" s="8">
        <v>92.5</v>
      </c>
      <c r="Q19" s="8">
        <v>653.20000000000005</v>
      </c>
      <c r="R19" s="5">
        <f t="shared" ref="R19:T19" si="16">R10+R13+R17</f>
        <v>539.73061458386428</v>
      </c>
      <c r="S19" s="5">
        <f t="shared" si="16"/>
        <v>1398.0801087799994</v>
      </c>
      <c r="T19" s="5">
        <f t="shared" si="16"/>
        <v>1660.4696327732145</v>
      </c>
    </row>
    <row r="20" spans="1:20" x14ac:dyDescent="0.5">
      <c r="A20" s="1" t="s">
        <v>9</v>
      </c>
      <c r="B20" s="8">
        <v>0</v>
      </c>
      <c r="C20" s="8">
        <v>0</v>
      </c>
      <c r="D20" s="8">
        <v>0</v>
      </c>
      <c r="E20" s="8">
        <v>0</v>
      </c>
      <c r="F20" s="8">
        <v>0</v>
      </c>
      <c r="H20" s="1" t="s">
        <v>25</v>
      </c>
      <c r="I20" s="8">
        <v>444</v>
      </c>
      <c r="J20" s="8">
        <v>547</v>
      </c>
      <c r="K20" s="8">
        <f>D6*'New Assumptions'!$J$23</f>
        <v>414.30090921288104</v>
      </c>
      <c r="L20" s="8">
        <f>E6*'New Assumptions'!$J$23</f>
        <v>488.40769766759877</v>
      </c>
      <c r="M20" s="8">
        <f>F6*'New Assumptions'!$J$23</f>
        <v>577.09958673340213</v>
      </c>
      <c r="O20" s="1" t="s">
        <v>44</v>
      </c>
      <c r="P20" s="8">
        <v>642.20299999999997</v>
      </c>
      <c r="Q20" s="8">
        <f>P21</f>
        <v>734.721</v>
      </c>
      <c r="R20" s="8">
        <f>Q21</f>
        <v>1387.921</v>
      </c>
      <c r="S20" s="8">
        <f t="shared" ref="S20:T20" si="17">R21</f>
        <v>1927.6516145838643</v>
      </c>
      <c r="T20" s="8">
        <f t="shared" si="17"/>
        <v>3325.7317233638637</v>
      </c>
    </row>
    <row r="21" spans="1:20" x14ac:dyDescent="0.5">
      <c r="A21" s="1" t="s">
        <v>10</v>
      </c>
      <c r="B21" s="8">
        <v>20</v>
      </c>
      <c r="C21" s="8">
        <v>-27</v>
      </c>
      <c r="D21" s="8">
        <v>0</v>
      </c>
      <c r="E21" s="8">
        <v>0</v>
      </c>
      <c r="F21" s="8">
        <v>0</v>
      </c>
      <c r="H21" s="11" t="s">
        <v>26</v>
      </c>
      <c r="I21" s="12">
        <f>SUM(I17:I20)</f>
        <v>2969</v>
      </c>
      <c r="J21" s="12">
        <f t="shared" ref="J21:M21" si="18">SUM(J17:J20)</f>
        <v>4283</v>
      </c>
      <c r="K21" s="12">
        <f t="shared" si="18"/>
        <v>4192.8383530128822</v>
      </c>
      <c r="L21" s="12">
        <f t="shared" si="18"/>
        <v>4774.1626246575997</v>
      </c>
      <c r="M21" s="12">
        <f t="shared" si="18"/>
        <v>5472.1499938299021</v>
      </c>
      <c r="O21" s="1" t="s">
        <v>45</v>
      </c>
      <c r="P21" s="8">
        <v>734.721</v>
      </c>
      <c r="Q21" s="8">
        <v>1387.921</v>
      </c>
      <c r="R21" s="8">
        <f>R20+R19</f>
        <v>1927.6516145838643</v>
      </c>
      <c r="S21" s="8">
        <f t="shared" ref="S21:T21" si="19">S20+S19</f>
        <v>3325.7317233638637</v>
      </c>
      <c r="T21" s="8">
        <f t="shared" si="19"/>
        <v>4986.2013561370786</v>
      </c>
    </row>
    <row r="23" spans="1:20" x14ac:dyDescent="0.5">
      <c r="A23" s="1" t="s">
        <v>11</v>
      </c>
      <c r="B23" s="6">
        <f>B17+B19-B20+B21</f>
        <v>-481.79399999999987</v>
      </c>
      <c r="C23" s="6">
        <f t="shared" ref="C23:F23" si="20">C17+C19-C20+C21</f>
        <v>-275.00399999999991</v>
      </c>
      <c r="D23" s="6">
        <f>D17+D19-D20+D21</f>
        <v>-381.42625615348197</v>
      </c>
      <c r="E23" s="6">
        <f t="shared" si="20"/>
        <v>-449.65269313993031</v>
      </c>
      <c r="F23" s="6">
        <f t="shared" si="20"/>
        <v>-531.30690737233635</v>
      </c>
      <c r="H23" s="1" t="s">
        <v>27</v>
      </c>
      <c r="I23" s="8">
        <v>692</v>
      </c>
      <c r="J23" s="8">
        <v>1018</v>
      </c>
      <c r="K23" s="8">
        <f>J23</f>
        <v>1018</v>
      </c>
      <c r="L23" s="8">
        <f t="shared" ref="L23:M23" si="21">K23</f>
        <v>1018</v>
      </c>
      <c r="M23" s="8">
        <f t="shared" si="21"/>
        <v>1018</v>
      </c>
      <c r="O23" s="7" t="s">
        <v>55</v>
      </c>
    </row>
    <row r="24" spans="1:20" x14ac:dyDescent="0.5">
      <c r="A24" s="1" t="s">
        <v>12</v>
      </c>
      <c r="B24" s="8">
        <v>-2</v>
      </c>
      <c r="C24" s="8">
        <v>7</v>
      </c>
      <c r="D24" s="8">
        <v>0</v>
      </c>
      <c r="E24" s="8">
        <v>0</v>
      </c>
      <c r="F24" s="8">
        <v>0</v>
      </c>
      <c r="H24" s="1" t="s">
        <v>24</v>
      </c>
      <c r="I24" s="8">
        <v>80</v>
      </c>
      <c r="J24" s="8">
        <v>86</v>
      </c>
      <c r="K24" s="5">
        <f>Revenue_Build!E9*'New Assumptions'!$J$19</f>
        <v>136.81776020000015</v>
      </c>
      <c r="L24" s="5">
        <f>Revenue_Build!F9*'New Assumptions'!$J$19</f>
        <v>163.51341721000017</v>
      </c>
      <c r="M24" s="5">
        <f>Revenue_Build!G9*'New Assumptions'!$J$19</f>
        <v>195.58160037350021</v>
      </c>
    </row>
    <row r="25" spans="1:20" x14ac:dyDescent="0.5">
      <c r="A25" s="1" t="s">
        <v>13</v>
      </c>
      <c r="B25" s="8">
        <v>-481</v>
      </c>
      <c r="C25" s="8">
        <v>-282</v>
      </c>
      <c r="D25" s="8">
        <f>D23-D24</f>
        <v>-381.42625615348197</v>
      </c>
      <c r="E25" s="8">
        <f t="shared" ref="E25:F25" si="22">E23-E24</f>
        <v>-449.65269313993031</v>
      </c>
      <c r="F25" s="8">
        <f t="shared" si="22"/>
        <v>-531.30690737233635</v>
      </c>
      <c r="H25" s="1" t="s">
        <v>28</v>
      </c>
      <c r="I25" s="8">
        <v>256</v>
      </c>
      <c r="J25" s="8">
        <v>386</v>
      </c>
      <c r="K25" s="5">
        <f>D6*'New Assumptions'!$J$23</f>
        <v>414.30090921288104</v>
      </c>
      <c r="L25" s="5">
        <f>E6*'New Assumptions'!$J$23</f>
        <v>488.40769766759877</v>
      </c>
      <c r="M25" s="5">
        <f>F6*'New Assumptions'!$J$23</f>
        <v>577.09958673340213</v>
      </c>
    </row>
    <row r="26" spans="1:20" x14ac:dyDescent="0.5">
      <c r="H26" s="11" t="s">
        <v>29</v>
      </c>
      <c r="I26" s="12">
        <f>SUM(I21:I25)</f>
        <v>3997</v>
      </c>
      <c r="J26" s="12">
        <f t="shared" ref="J26:M26" si="23">SUM(J21:J25)</f>
        <v>5773</v>
      </c>
      <c r="K26" s="12">
        <f t="shared" si="23"/>
        <v>5761.9570224257641</v>
      </c>
      <c r="L26" s="12">
        <f t="shared" si="23"/>
        <v>6444.0837395351991</v>
      </c>
      <c r="M26" s="12">
        <f t="shared" si="23"/>
        <v>7262.8311809368042</v>
      </c>
    </row>
    <row r="28" spans="1:20" x14ac:dyDescent="0.5">
      <c r="H28" s="1" t="s">
        <v>30</v>
      </c>
      <c r="I28" s="8">
        <v>5344</v>
      </c>
      <c r="J28" s="8">
        <v>6430</v>
      </c>
      <c r="K28" s="8">
        <f>J28+R6</f>
        <v>7697.6994759821082</v>
      </c>
      <c r="L28" s="8">
        <f t="shared" ref="L28:M28" si="24">K28+S6</f>
        <v>9192.1547586778597</v>
      </c>
      <c r="M28" s="8">
        <f t="shared" si="24"/>
        <v>10957.994097725777</v>
      </c>
    </row>
    <row r="29" spans="1:20" x14ac:dyDescent="0.5">
      <c r="H29" s="1" t="s">
        <v>31</v>
      </c>
      <c r="I29" s="8">
        <v>-2627</v>
      </c>
      <c r="J29" s="8">
        <v>-2910</v>
      </c>
      <c r="K29" s="8">
        <f>J29+R4</f>
        <v>-3291.426256153482</v>
      </c>
      <c r="L29" s="8">
        <f t="shared" ref="L29:M29" si="25">K29+S4</f>
        <v>-3741.0789492934123</v>
      </c>
      <c r="M29" s="8">
        <f t="shared" si="25"/>
        <v>-4272.3858566657491</v>
      </c>
    </row>
    <row r="30" spans="1:20" x14ac:dyDescent="0.5">
      <c r="H30" s="11" t="s">
        <v>32</v>
      </c>
      <c r="I30" s="12">
        <f>SUM(I28:I29)</f>
        <v>2717</v>
      </c>
      <c r="J30" s="12">
        <f t="shared" ref="J30:M30" si="26">SUM(J28:J29)</f>
        <v>3520</v>
      </c>
      <c r="K30" s="12">
        <f>SUM(K28:K29)</f>
        <v>4406.2732198286267</v>
      </c>
      <c r="L30" s="12">
        <f t="shared" si="26"/>
        <v>5451.075809384447</v>
      </c>
      <c r="M30" s="12">
        <f t="shared" si="26"/>
        <v>6685.6082410600284</v>
      </c>
    </row>
    <row r="32" spans="1:20" x14ac:dyDescent="0.5">
      <c r="H32" s="11" t="s">
        <v>50</v>
      </c>
      <c r="I32" s="10">
        <f>I18+I24</f>
        <v>2303</v>
      </c>
      <c r="J32" s="10">
        <f t="shared" ref="J32:M32" si="27">J18+J24</f>
        <v>2643</v>
      </c>
      <c r="K32" s="10">
        <f t="shared" si="27"/>
        <v>2736.3552040000009</v>
      </c>
      <c r="L32" s="10">
        <f t="shared" si="27"/>
        <v>3270.2683442000007</v>
      </c>
      <c r="M32" s="10">
        <f t="shared" si="27"/>
        <v>3911.6320074700006</v>
      </c>
    </row>
    <row r="33" spans="8:13" x14ac:dyDescent="0.5">
      <c r="H33" s="1" t="s">
        <v>56</v>
      </c>
      <c r="I33" s="6">
        <f>I15-(I26+I30)</f>
        <v>103.72099999999955</v>
      </c>
      <c r="J33" s="6">
        <f t="shared" ref="J33:M33" si="28">J15-(J26+J30)</f>
        <v>-7.8999999999723514E-2</v>
      </c>
      <c r="K33" s="6">
        <f t="shared" si="28"/>
        <v>3.841999999998734</v>
      </c>
      <c r="L33" s="6">
        <f t="shared" si="28"/>
        <v>3.842000000000553</v>
      </c>
      <c r="M33" s="6">
        <f t="shared" si="28"/>
        <v>3.842000000002372</v>
      </c>
    </row>
    <row r="35" spans="8:13" x14ac:dyDescent="0.5">
      <c r="H35" s="1" t="s">
        <v>101</v>
      </c>
      <c r="J35" s="1">
        <v>571</v>
      </c>
    </row>
    <row r="37" spans="8:13" x14ac:dyDescent="0.5">
      <c r="I37" s="11"/>
    </row>
    <row r="38" spans="8:13" x14ac:dyDescent="0.5">
      <c r="I38" s="6"/>
    </row>
    <row r="39" spans="8:13" x14ac:dyDescent="0.5">
      <c r="I39" s="9"/>
    </row>
  </sheetData>
  <mergeCells count="3">
    <mergeCell ref="A2:F2"/>
    <mergeCell ref="H2:M2"/>
    <mergeCell ref="O2:T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558-7298-4BB2-A420-C668BEE3B8FE}">
  <dimension ref="B2:N12"/>
  <sheetViews>
    <sheetView zoomScale="115" zoomScaleNormal="115" workbookViewId="0">
      <selection activeCell="H12" sqref="H12"/>
    </sheetView>
  </sheetViews>
  <sheetFormatPr defaultColWidth="8.87890625" defaultRowHeight="14.35" x14ac:dyDescent="0.5"/>
  <cols>
    <col min="1" max="1" width="8.87890625" style="1"/>
    <col min="2" max="2" width="25.76171875" style="1" bestFit="1" customWidth="1"/>
    <col min="3" max="3" width="11.52734375" style="1" bestFit="1" customWidth="1"/>
    <col min="4" max="7" width="10.41015625" style="1" bestFit="1" customWidth="1"/>
    <col min="8" max="8" width="15.3515625" style="1" customWidth="1"/>
    <col min="9" max="9" width="13.87890625" style="1" customWidth="1"/>
    <col min="10" max="10" width="10.1171875" style="1" customWidth="1"/>
    <col min="11" max="16384" width="8.87890625" style="1"/>
  </cols>
  <sheetData>
    <row r="2" spans="2:14" x14ac:dyDescent="0.5">
      <c r="B2" s="29" t="s">
        <v>51</v>
      </c>
      <c r="C2" s="29"/>
      <c r="D2" s="29"/>
      <c r="E2" s="29"/>
      <c r="F2" s="29"/>
    </row>
    <row r="3" spans="2:14" x14ac:dyDescent="0.5">
      <c r="B3" s="17"/>
      <c r="C3" s="15">
        <v>2020</v>
      </c>
      <c r="D3" s="15">
        <v>2021</v>
      </c>
      <c r="E3" s="15">
        <v>2022</v>
      </c>
      <c r="F3" s="15">
        <v>2023</v>
      </c>
      <c r="G3" s="15">
        <v>2024</v>
      </c>
      <c r="I3" s="1" t="s">
        <v>76</v>
      </c>
      <c r="K3" s="9">
        <v>0.05</v>
      </c>
      <c r="L3" s="6"/>
      <c r="M3" s="6"/>
      <c r="N3" s="6"/>
    </row>
    <row r="4" spans="2:14" x14ac:dyDescent="0.5">
      <c r="B4" s="23" t="s">
        <v>58</v>
      </c>
      <c r="C4" s="18">
        <f>'Financial Statements'!B4</f>
        <v>3096.3890000000001</v>
      </c>
      <c r="D4" s="18">
        <f>'Financial Statements'!C4</f>
        <v>3788.4520000000002</v>
      </c>
      <c r="E4" s="18">
        <f>'ARR WaterFall'!D9</f>
        <v>4571.2442400000009</v>
      </c>
      <c r="F4" s="18">
        <f>'ARR WaterFall'!E9</f>
        <v>5460.5668620000015</v>
      </c>
      <c r="G4" s="18">
        <f>'ARR WaterFall'!F9</f>
        <v>6529.0003197000005</v>
      </c>
      <c r="I4" s="1" t="s">
        <v>78</v>
      </c>
      <c r="K4" s="3">
        <v>0.55000000000000004</v>
      </c>
    </row>
    <row r="5" spans="2:14" x14ac:dyDescent="0.5">
      <c r="B5" s="23" t="s">
        <v>75</v>
      </c>
      <c r="C5" s="19">
        <f>'Financial Statements'!B5</f>
        <v>530.81700000000001</v>
      </c>
      <c r="D5" s="19">
        <f>'Financial Statements'!C5</f>
        <v>529.54399999999998</v>
      </c>
      <c r="E5" s="19">
        <f>D5*(1+$K$3)</f>
        <v>556.02120000000002</v>
      </c>
      <c r="F5" s="19">
        <f t="shared" ref="F5:G5" si="0">E5*(1+$K$3)</f>
        <v>583.82226000000003</v>
      </c>
      <c r="G5" s="19">
        <f t="shared" si="0"/>
        <v>613.013373</v>
      </c>
    </row>
    <row r="6" spans="2:14" x14ac:dyDescent="0.5">
      <c r="B6" s="24" t="s">
        <v>69</v>
      </c>
      <c r="C6" s="20">
        <f>SUM(C4,C5)</f>
        <v>3627.2060000000001</v>
      </c>
      <c r="D6" s="20">
        <f>SUM(D4,D5)</f>
        <v>4317.9960000000001</v>
      </c>
      <c r="E6" s="20">
        <f>SUM(E4,E5)</f>
        <v>5127.265440000001</v>
      </c>
      <c r="F6" s="20">
        <f>SUM(F4,F5)</f>
        <v>6044.3891220000014</v>
      </c>
      <c r="G6" s="20">
        <f>SUM(G4,G5)</f>
        <v>7142.0136927000003</v>
      </c>
    </row>
    <row r="7" spans="2:14" x14ac:dyDescent="0.5">
      <c r="B7" s="23" t="s">
        <v>77</v>
      </c>
      <c r="C7" s="18"/>
      <c r="D7" s="18">
        <f>'ARR WaterFall'!C7</f>
        <v>3788.4520000000002</v>
      </c>
      <c r="E7" s="18">
        <f>'ARR WaterFall'!D7</f>
        <v>4975.1912800000009</v>
      </c>
      <c r="F7" s="18">
        <f>'ARR WaterFall'!E7</f>
        <v>5945.9424440000012</v>
      </c>
      <c r="G7" s="18">
        <f>'ARR WaterFall'!F7</f>
        <v>7112.0581954000008</v>
      </c>
    </row>
    <row r="8" spans="2:14" x14ac:dyDescent="0.5">
      <c r="B8" s="23" t="s">
        <v>78</v>
      </c>
      <c r="C8" s="21">
        <f>$K$4</f>
        <v>0.55000000000000004</v>
      </c>
      <c r="D8" s="21">
        <f t="shared" ref="D8:G8" si="1">$K$4</f>
        <v>0.55000000000000004</v>
      </c>
      <c r="E8" s="21">
        <f t="shared" si="1"/>
        <v>0.55000000000000004</v>
      </c>
      <c r="F8" s="21">
        <f t="shared" si="1"/>
        <v>0.55000000000000004</v>
      </c>
      <c r="G8" s="21">
        <f t="shared" si="1"/>
        <v>0.55000000000000004</v>
      </c>
    </row>
    <row r="9" spans="2:14" x14ac:dyDescent="0.5">
      <c r="B9" s="24" t="s">
        <v>79</v>
      </c>
      <c r="C9" s="22"/>
      <c r="D9" s="22">
        <f>D7*D8</f>
        <v>2083.6486000000004</v>
      </c>
      <c r="E9" s="22">
        <f t="shared" ref="E9:G9" si="2">E7*E8</f>
        <v>2736.3552040000009</v>
      </c>
      <c r="F9" s="22">
        <f t="shared" si="2"/>
        <v>3270.2683442000007</v>
      </c>
      <c r="G9" s="22">
        <f t="shared" si="2"/>
        <v>3911.6320074700006</v>
      </c>
    </row>
    <row r="11" spans="2:14" x14ac:dyDescent="0.5">
      <c r="B11" s="1" t="s">
        <v>53</v>
      </c>
      <c r="C11" s="1">
        <v>1949.27</v>
      </c>
    </row>
    <row r="12" spans="2:14" x14ac:dyDescent="0.5">
      <c r="B12" s="1" t="s">
        <v>52</v>
      </c>
      <c r="C12" s="1">
        <f>'Financial Statements'!B6-Revenue_Build!C11+'Financial Statements'!I32</f>
        <v>3980.9360000000001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C3C9-91D8-479F-BE8A-FA5EC02CE0CE}">
  <dimension ref="B2:I9"/>
  <sheetViews>
    <sheetView workbookViewId="0">
      <selection activeCell="G17" sqref="G17"/>
    </sheetView>
  </sheetViews>
  <sheetFormatPr defaultColWidth="8.87890625" defaultRowHeight="14.35" x14ac:dyDescent="0.5"/>
  <cols>
    <col min="1" max="1" width="8.87890625" style="1"/>
    <col min="2" max="2" width="28.1171875" style="1" bestFit="1" customWidth="1"/>
    <col min="3" max="4" width="10.234375" style="1" bestFit="1" customWidth="1"/>
    <col min="5" max="7" width="8.87890625" style="1"/>
    <col min="8" max="8" width="14.52734375" style="1" customWidth="1"/>
    <col min="9" max="16384" width="8.87890625" style="1"/>
  </cols>
  <sheetData>
    <row r="2" spans="2:9" x14ac:dyDescent="0.5">
      <c r="B2" s="11" t="s">
        <v>59</v>
      </c>
      <c r="C2" s="1">
        <v>2021</v>
      </c>
      <c r="D2" s="1">
        <v>2022</v>
      </c>
      <c r="E2" s="1">
        <v>2023</v>
      </c>
      <c r="F2" s="1">
        <v>2024</v>
      </c>
      <c r="H2" s="1" t="s">
        <v>70</v>
      </c>
    </row>
    <row r="3" spans="2:9" x14ac:dyDescent="0.5">
      <c r="B3" s="1" t="s">
        <v>60</v>
      </c>
      <c r="C3" s="8">
        <f>'Financial Statements'!B4</f>
        <v>3096.3890000000001</v>
      </c>
      <c r="D3" s="8">
        <f>C7*1.1</f>
        <v>4167.2972000000009</v>
      </c>
      <c r="E3" s="8">
        <f t="shared" ref="E3:F3" si="0">D7</f>
        <v>4975.1912800000009</v>
      </c>
      <c r="F3" s="8">
        <f t="shared" si="0"/>
        <v>5945.9424440000012</v>
      </c>
      <c r="G3" s="6"/>
      <c r="H3" s="1" t="s">
        <v>74</v>
      </c>
    </row>
    <row r="4" spans="2:9" x14ac:dyDescent="0.5">
      <c r="B4" s="1" t="s">
        <v>61</v>
      </c>
      <c r="C4" s="8">
        <f>C7-C3</f>
        <v>692.0630000000001</v>
      </c>
      <c r="D4" s="8">
        <f>D5-D6</f>
        <v>807.89408000000003</v>
      </c>
      <c r="E4" s="8">
        <f t="shared" ref="E4:F4" si="1">E5-E6</f>
        <v>970.7511639999999</v>
      </c>
      <c r="F4" s="8">
        <f t="shared" si="1"/>
        <v>1166.1157513999999</v>
      </c>
      <c r="G4" s="6"/>
      <c r="H4" s="1" t="s">
        <v>71</v>
      </c>
    </row>
    <row r="5" spans="2:9" x14ac:dyDescent="0.5">
      <c r="B5" s="1" t="s">
        <v>62</v>
      </c>
      <c r="C5" s="8">
        <f>C4+C6</f>
        <v>846.88245000000006</v>
      </c>
      <c r="D5" s="8">
        <f>C5*(1+$I$6)</f>
        <v>1016.2589400000001</v>
      </c>
      <c r="E5" s="8">
        <f>D5*(1+$I$6)</f>
        <v>1219.510728</v>
      </c>
      <c r="F5" s="8">
        <f>E5*(1+$I$6)</f>
        <v>1463.4128736</v>
      </c>
      <c r="G5" s="6"/>
      <c r="H5" s="1" t="s">
        <v>72</v>
      </c>
      <c r="I5" s="3">
        <v>0.05</v>
      </c>
    </row>
    <row r="6" spans="2:9" x14ac:dyDescent="0.5">
      <c r="B6" s="1" t="s">
        <v>63</v>
      </c>
      <c r="C6" s="8">
        <f>C3*$I$5</f>
        <v>154.81945000000002</v>
      </c>
      <c r="D6" s="8">
        <f>D3*$I$5</f>
        <v>208.36486000000005</v>
      </c>
      <c r="E6" s="8">
        <f>E3*$I$5</f>
        <v>248.75956400000007</v>
      </c>
      <c r="F6" s="8">
        <f>F3*$I$5</f>
        <v>297.29712220000005</v>
      </c>
      <c r="G6" s="6"/>
      <c r="H6" s="1" t="s">
        <v>73</v>
      </c>
      <c r="I6" s="3">
        <v>0.2</v>
      </c>
    </row>
    <row r="7" spans="2:9" x14ac:dyDescent="0.5">
      <c r="B7" s="1" t="s">
        <v>64</v>
      </c>
      <c r="C7" s="8">
        <f>'Financial Statements'!C4</f>
        <v>3788.4520000000002</v>
      </c>
      <c r="D7" s="8">
        <f>D3+D4</f>
        <v>4975.1912800000009</v>
      </c>
      <c r="E7" s="8">
        <f t="shared" ref="E7:F7" si="2">E3+E4</f>
        <v>5945.9424440000012</v>
      </c>
      <c r="F7" s="8">
        <f t="shared" si="2"/>
        <v>7112.0581954000008</v>
      </c>
      <c r="G7" s="6"/>
    </row>
    <row r="8" spans="2:9" x14ac:dyDescent="0.5">
      <c r="B8" s="1" t="s">
        <v>65</v>
      </c>
      <c r="C8" s="8">
        <f>(C3+C7)/2</f>
        <v>3442.4205000000002</v>
      </c>
      <c r="D8" s="8">
        <f t="shared" ref="D8:F8" si="3">(D3+D7)/2</f>
        <v>4571.2442400000009</v>
      </c>
      <c r="E8" s="8">
        <f t="shared" si="3"/>
        <v>5460.5668620000015</v>
      </c>
      <c r="F8" s="8">
        <f t="shared" si="3"/>
        <v>6529.0003197000005</v>
      </c>
      <c r="G8" s="6"/>
    </row>
    <row r="9" spans="2:9" x14ac:dyDescent="0.5">
      <c r="B9" s="1" t="s">
        <v>66</v>
      </c>
      <c r="C9" s="12">
        <f>C8</f>
        <v>3442.4205000000002</v>
      </c>
      <c r="D9" s="12">
        <f t="shared" ref="D9:F9" si="4">D8</f>
        <v>4571.2442400000009</v>
      </c>
      <c r="E9" s="12">
        <f t="shared" si="4"/>
        <v>5460.5668620000015</v>
      </c>
      <c r="F9" s="12">
        <f t="shared" si="4"/>
        <v>6529.0003197000005</v>
      </c>
      <c r="G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New Assumptions</vt:lpstr>
      <vt:lpstr>Financial Statements</vt:lpstr>
      <vt:lpstr>Revenue_Build</vt:lpstr>
      <vt:lpstr>ARR WaterFall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Guowei Wu</dc:creator>
  <cp:lastModifiedBy>Guowei Wu</cp:lastModifiedBy>
  <dcterms:created xsi:type="dcterms:W3CDTF">2025-12-16T17:43:35Z</dcterms:created>
  <dcterms:modified xsi:type="dcterms:W3CDTF">2026-01-22T18:36:16Z</dcterms:modified>
</cp:coreProperties>
</file>