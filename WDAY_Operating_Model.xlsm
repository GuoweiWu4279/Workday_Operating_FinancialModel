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e6d1c31610eb2bc/Study/Projects/Financial Models/Workday_3Statement_Model/"/>
    </mc:Choice>
  </mc:AlternateContent>
  <xr:revisionPtr revIDLastSave="756" documentId="8_{271544A6-0FEB-41BA-82D4-CDBFB7E8CA0F}" xr6:coauthVersionLast="47" xr6:coauthVersionMax="47" xr10:uidLastSave="{5DB2AC99-AAB2-4891-A205-0364513EE179}"/>
  <bookViews>
    <workbookView xWindow="-108" yWindow="-108" windowWidth="23256" windowHeight="12576" xr2:uid="{E4FAC381-51C3-4F89-B691-B260B7FECEED}"/>
  </bookViews>
  <sheets>
    <sheet name="Summary" sheetId="10" r:id="rId1"/>
    <sheet name="Assumptions" sheetId="2" r:id="rId2"/>
    <sheet name="Financial Statements" sheetId="3" r:id="rId3"/>
    <sheet name="Revenue_Build" sheetId="4" r:id="rId4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8" i="3" l="1"/>
  <c r="L27" i="3"/>
  <c r="M27" i="3"/>
  <c r="K27" i="3"/>
  <c r="L22" i="3"/>
  <c r="M22" i="3"/>
  <c r="K22" i="3"/>
  <c r="L16" i="3"/>
  <c r="M16" i="3"/>
  <c r="K16" i="3"/>
  <c r="G44" i="2"/>
  <c r="G43" i="2"/>
  <c r="I31" i="3"/>
  <c r="J31" i="3"/>
  <c r="R18" i="3"/>
  <c r="Q11" i="3"/>
  <c r="R11" i="3"/>
  <c r="T11" i="3"/>
  <c r="P11" i="3"/>
  <c r="S10" i="3"/>
  <c r="S11" i="3" s="1"/>
  <c r="T10" i="3"/>
  <c r="R10" i="3"/>
  <c r="G31" i="2"/>
  <c r="S6" i="3"/>
  <c r="T6" i="3"/>
  <c r="R6" i="3"/>
  <c r="G27" i="2"/>
  <c r="S5" i="3"/>
  <c r="T5" i="3"/>
  <c r="R5" i="3"/>
  <c r="G26" i="2"/>
  <c r="C19" i="3"/>
  <c r="B19" i="3"/>
  <c r="C13" i="3"/>
  <c r="B13" i="3"/>
  <c r="C11" i="3"/>
  <c r="B11" i="3"/>
  <c r="E9" i="3"/>
  <c r="F9" i="3"/>
  <c r="E10" i="3"/>
  <c r="F10" i="3"/>
  <c r="D10" i="3"/>
  <c r="D9" i="3"/>
  <c r="E8" i="3"/>
  <c r="F8" i="3"/>
  <c r="D8" i="3"/>
  <c r="D11" i="3" s="1"/>
  <c r="C6" i="3"/>
  <c r="D6" i="3"/>
  <c r="B6" i="3"/>
  <c r="E5" i="3"/>
  <c r="E6" i="3" s="1"/>
  <c r="F5" i="3"/>
  <c r="F6" i="3" s="1"/>
  <c r="D5" i="3"/>
  <c r="G10" i="2"/>
  <c r="G9" i="2"/>
  <c r="G5" i="2"/>
  <c r="G8" i="2"/>
  <c r="G4" i="2"/>
  <c r="G3" i="2"/>
  <c r="E7" i="4"/>
  <c r="D7" i="4"/>
  <c r="E9" i="4"/>
  <c r="D9" i="4"/>
  <c r="K5" i="4"/>
  <c r="C9" i="4"/>
  <c r="C8" i="4"/>
  <c r="E6" i="4"/>
  <c r="F6" i="4" s="1"/>
  <c r="D6" i="4"/>
  <c r="C6" i="4"/>
  <c r="C12" i="4"/>
  <c r="C5" i="4"/>
  <c r="I30" i="3"/>
  <c r="C7" i="4"/>
  <c r="D4" i="4" s="1"/>
  <c r="C4" i="4"/>
  <c r="J30" i="3"/>
  <c r="J5" i="3"/>
  <c r="I5" i="3"/>
  <c r="M31" i="3" l="1"/>
  <c r="L24" i="3"/>
  <c r="L31" i="3"/>
  <c r="K24" i="3"/>
  <c r="E11" i="3"/>
  <c r="E13" i="3" s="1"/>
  <c r="E19" i="3" s="1"/>
  <c r="E21" i="3" s="1"/>
  <c r="S4" i="3" s="1"/>
  <c r="S8" i="3" s="1"/>
  <c r="S17" i="3" s="1"/>
  <c r="F11" i="3"/>
  <c r="F13" i="3" s="1"/>
  <c r="F19" i="3" s="1"/>
  <c r="F21" i="3" s="1"/>
  <c r="T4" i="3" s="1"/>
  <c r="T8" i="3" s="1"/>
  <c r="T17" i="3" s="1"/>
  <c r="D13" i="3"/>
  <c r="D19" i="3" s="1"/>
  <c r="D21" i="3" s="1"/>
  <c r="R4" i="3" s="1"/>
  <c r="R8" i="3" s="1"/>
  <c r="R17" i="3" s="1"/>
  <c r="R19" i="3" s="1"/>
  <c r="L3" i="4"/>
  <c r="K4" i="4"/>
  <c r="K3" i="4"/>
  <c r="D5" i="4"/>
  <c r="Q18" i="3"/>
  <c r="Q7" i="3"/>
  <c r="P7" i="3"/>
  <c r="Q4" i="3"/>
  <c r="P4" i="3"/>
  <c r="J28" i="3"/>
  <c r="L28" i="3"/>
  <c r="M28" i="3"/>
  <c r="I28" i="3"/>
  <c r="J24" i="3"/>
  <c r="M24" i="3"/>
  <c r="I24" i="3"/>
  <c r="J19" i="3"/>
  <c r="K19" i="3"/>
  <c r="M19" i="3"/>
  <c r="I19" i="3"/>
  <c r="J13" i="3"/>
  <c r="K13" i="3"/>
  <c r="L13" i="3"/>
  <c r="M13" i="3"/>
  <c r="I13" i="3"/>
  <c r="J9" i="3"/>
  <c r="I9" i="3"/>
  <c r="L19" i="3" l="1"/>
  <c r="K31" i="3"/>
  <c r="K5" i="3"/>
  <c r="K9" i="3" s="1"/>
  <c r="S18" i="3"/>
  <c r="S19" i="3" s="1"/>
  <c r="K30" i="3"/>
  <c r="L5" i="4" s="1"/>
  <c r="D4" i="3"/>
  <c r="L4" i="4" s="1"/>
  <c r="E5" i="4"/>
  <c r="L5" i="3" l="1"/>
  <c r="L9" i="3" s="1"/>
  <c r="T18" i="3"/>
  <c r="T19" i="3" s="1"/>
  <c r="M5" i="3" s="1"/>
  <c r="M9" i="3" s="1"/>
  <c r="F5" i="4"/>
  <c r="E4" i="4"/>
  <c r="M3" i="4" l="1"/>
  <c r="E4" i="3" l="1"/>
  <c r="M4" i="4" s="1"/>
  <c r="L30" i="3" l="1"/>
  <c r="M5" i="4" s="1"/>
  <c r="F4" i="4"/>
  <c r="F9" i="4" l="1"/>
  <c r="F4" i="3" s="1"/>
  <c r="N4" i="4" s="1"/>
  <c r="F7" i="4"/>
  <c r="N3" i="4"/>
  <c r="M30" i="3"/>
  <c r="N5" i="4" s="1"/>
</calcChain>
</file>

<file path=xl/sharedStrings.xml><?xml version="1.0" encoding="utf-8"?>
<sst xmlns="http://schemas.openxmlformats.org/spreadsheetml/2006/main" count="138" uniqueCount="106">
  <si>
    <t>Revenue</t>
  </si>
  <si>
    <t>Cost of Revenue</t>
  </si>
  <si>
    <t>Gross Profit</t>
  </si>
  <si>
    <t>Sales &amp; Marketing</t>
  </si>
  <si>
    <t>Research &amp; Development</t>
  </si>
  <si>
    <t>General &amp; Adminstrative</t>
  </si>
  <si>
    <t>Total Operating Expenses</t>
  </si>
  <si>
    <t>Operating Income (EBIT)</t>
  </si>
  <si>
    <t>Interest Income</t>
  </si>
  <si>
    <t>Interest Expense</t>
  </si>
  <si>
    <t>Other Income / (Expense)</t>
  </si>
  <si>
    <t>Pre-Tax Income</t>
  </si>
  <si>
    <t>Income  Tax Expense</t>
  </si>
  <si>
    <t>Net Income</t>
  </si>
  <si>
    <t>Balance Sheet</t>
  </si>
  <si>
    <t>Cash &amp; Cash Equivalents</t>
  </si>
  <si>
    <t>Short-Term Investments</t>
  </si>
  <si>
    <t>Accounts Receivable</t>
  </si>
  <si>
    <t>Other Current Assets</t>
  </si>
  <si>
    <t>Total Current Assets</t>
  </si>
  <si>
    <t>Property, Plant &amp; Equipment (Net)</t>
  </si>
  <si>
    <t>Other Long-Term Assets</t>
  </si>
  <si>
    <t>Total Assets</t>
  </si>
  <si>
    <t>Accounts Payable</t>
  </si>
  <si>
    <t>Deferred Revenue (Long-Term)</t>
  </si>
  <si>
    <t>Other Current Liabilities</t>
  </si>
  <si>
    <t>Total Current Liabilities</t>
  </si>
  <si>
    <t>Long-Term Debt</t>
  </si>
  <si>
    <t>Other Long-Term Liabilities</t>
  </si>
  <si>
    <t>Total Liabilities</t>
  </si>
  <si>
    <t>Common Stock &amp; APIC</t>
  </si>
  <si>
    <t>Retained Earnings</t>
  </si>
  <si>
    <t>Total Equity</t>
  </si>
  <si>
    <t>Cash Flow Statement</t>
  </si>
  <si>
    <t>Depreciation &amp; Amortization</t>
  </si>
  <si>
    <t>Stock-Based Compensation</t>
  </si>
  <si>
    <t>Changes in Working Capital</t>
  </si>
  <si>
    <t>Cash from Operations</t>
  </si>
  <si>
    <t>Capital Expenditures</t>
  </si>
  <si>
    <t>Cash from Investing</t>
  </si>
  <si>
    <t>Debt Issued / (Repaid)</t>
  </si>
  <si>
    <t>Share-Based Compensation</t>
  </si>
  <si>
    <t>Cash from Financing</t>
  </si>
  <si>
    <t>Net Change in Cash</t>
  </si>
  <si>
    <t>Beginning Cash</t>
  </si>
  <si>
    <t>Ending Cash</t>
  </si>
  <si>
    <t>Income Statement （in Mil.)</t>
  </si>
  <si>
    <t>Deferred Revenue （Current)</t>
  </si>
  <si>
    <t>Debt, Current</t>
  </si>
  <si>
    <t>Restricted Cash</t>
  </si>
  <si>
    <t>Total Deferred Revenue</t>
  </si>
  <si>
    <t>Revenue Build</t>
  </si>
  <si>
    <t>Beginning Deferred Revenue</t>
  </si>
  <si>
    <t>New Billing</t>
  </si>
  <si>
    <t>Ending Deferred Revenue</t>
  </si>
  <si>
    <t>Revenue (Calculated)</t>
  </si>
  <si>
    <t>Billings Growth %</t>
  </si>
  <si>
    <t>Revenue Recognition %</t>
  </si>
  <si>
    <t>2020 New billings</t>
  </si>
  <si>
    <t>2019 Total Deferred Revenue</t>
  </si>
  <si>
    <t>Revenue Recognition Rate = Revenue / Beginning Deferred + New Billings</t>
  </si>
  <si>
    <t>Revenue (Calculated) = Beginning Deferred + New Billings - EndingDeferred</t>
  </si>
  <si>
    <t>Check 1: Deferred roll-forward check</t>
  </si>
  <si>
    <t>Check 2: Revenue = Income Statement</t>
  </si>
  <si>
    <t>Check 3: Ending Deferred = Balanced Sheet</t>
  </si>
  <si>
    <t>Asummed stable revenue recognition pattern based on 2021 implied rate</t>
  </si>
  <si>
    <t>Income Statement</t>
  </si>
  <si>
    <t>Revenue Recognition Rate</t>
  </si>
  <si>
    <t>Billings Growth Rate</t>
  </si>
  <si>
    <t>Cost of Revenue %</t>
  </si>
  <si>
    <t>Sales &amp; Marketing %</t>
  </si>
  <si>
    <t>Research &amp; Development %</t>
  </si>
  <si>
    <t>General &amp; Adminstrative %</t>
  </si>
  <si>
    <t>Based on 2021 implied recognition rate</t>
  </si>
  <si>
    <t>Intereste income / expense: Assumed immaterial and set to zero</t>
  </si>
  <si>
    <t>Other income (expense): Assumed non-recurring; excluded from forecast</t>
  </si>
  <si>
    <t xml:space="preserve">Effective tax rate: 0% </t>
  </si>
  <si>
    <t>Assumptions</t>
  </si>
  <si>
    <t>D&amp;A = % of Revenue</t>
  </si>
  <si>
    <t>SBC = % of Revenue</t>
  </si>
  <si>
    <t>Assuming 0.</t>
  </si>
  <si>
    <t>Capital Expenditures = % of Revenue</t>
  </si>
  <si>
    <t>Note: Cash flow simplified; excludes marketable securities, financing activities, and FX impacts</t>
  </si>
  <si>
    <t>Tax Rate = 0% during loss-making period (NOLs)</t>
  </si>
  <si>
    <t xml:space="preserve">% of Deferred Revenue recognied within 12 months </t>
  </si>
  <si>
    <t>check</t>
  </si>
  <si>
    <t>Current Deferred Revenue Ratio</t>
  </si>
  <si>
    <t>Long Term Deferred Revenue Ratio</t>
  </si>
  <si>
    <t xml:space="preserve">% of Deferred Revenue recognied exceeding 12 months </t>
  </si>
  <si>
    <t>Summary</t>
  </si>
  <si>
    <t>Model Objective</t>
  </si>
  <si>
    <r>
      <t xml:space="preserve">This model analyzes </t>
    </r>
    <r>
      <rPr>
        <b/>
        <sz val="11"/>
        <color theme="1"/>
        <rFont val="Aptos Narrow"/>
        <family val="2"/>
        <scheme val="minor"/>
      </rPr>
      <t>Workday’s operating performance and cash generation</t>
    </r>
    <r>
      <rPr>
        <sz val="11"/>
        <color theme="1"/>
        <rFont val="Aptos Narrow"/>
        <family val="2"/>
        <scheme val="minor"/>
      </rPr>
      <t xml:space="preserve"> based on historical financials (2020–2021) and a driver-based projection (2022–2024), focusing on </t>
    </r>
    <r>
      <rPr>
        <b/>
        <sz val="11"/>
        <color theme="1"/>
        <rFont val="Aptos Narrow"/>
        <family val="2"/>
        <scheme val="minor"/>
      </rPr>
      <t>revenue recognition, cost structure, deferred revenue dynamics, and operating cash flow</t>
    </r>
    <r>
      <rPr>
        <sz val="11"/>
        <color theme="1"/>
        <rFont val="Aptos Narrow"/>
        <family val="2"/>
        <scheme val="minor"/>
      </rPr>
      <t>.</t>
    </r>
  </si>
  <si>
    <r>
      <t xml:space="preserve">The model is designed as an </t>
    </r>
    <r>
      <rPr>
        <b/>
        <sz val="11"/>
        <color theme="1"/>
        <rFont val="Aptos Narrow"/>
        <family val="2"/>
        <scheme val="minor"/>
      </rPr>
      <t>operating model</t>
    </r>
    <r>
      <rPr>
        <sz val="11"/>
        <color theme="1"/>
        <rFont val="Aptos Narrow"/>
        <family val="2"/>
        <scheme val="minor"/>
      </rPr>
      <t>, not a full treasury or valuation model.</t>
    </r>
  </si>
  <si>
    <t>Key Takeaways</t>
  </si>
  <si>
    <r>
      <rPr>
        <b/>
        <sz val="11"/>
        <color theme="1"/>
        <rFont val="Aptos Narrow"/>
        <family val="2"/>
        <scheme val="minor"/>
      </rPr>
      <t>1. Revenue Growth Is Solid, but Profitability Remains Structurally Challenged</t>
    </r>
    <r>
      <rPr>
        <sz val="11"/>
        <color theme="1"/>
        <rFont val="Aptos Narrow"/>
        <family val="2"/>
        <scheme val="minor"/>
      </rPr>
      <t xml:space="preserve">
Revenue grows from $4.3B (2021) to $6.6B (2024) (~15% CAGR).
Despite scale, operating losses persist:
EBIT remains negative through 2024.
Operating expenses (S&amp;M + R&amp;D) consistently exceed gross profit.
Interpretation:
</t>
    </r>
    <r>
      <rPr>
        <b/>
        <sz val="11"/>
        <color theme="1"/>
        <rFont val="Aptos Narrow"/>
        <family val="2"/>
        <scheme val="minor"/>
      </rPr>
      <t>Workday’s growth is expensive. Scale alone does not drive near-term operating leverage without cost structure changes.</t>
    </r>
  </si>
  <si>
    <r>
      <rPr>
        <b/>
        <sz val="11"/>
        <color theme="1"/>
        <rFont val="Aptos Narrow"/>
        <family val="2"/>
        <scheme val="minor"/>
      </rPr>
      <t>2. Cost Structure Is R&amp;D- and S&amp;M-Heavy by Design</t>
    </r>
    <r>
      <rPr>
        <sz val="11"/>
        <color theme="1"/>
        <rFont val="Aptos Narrow"/>
        <family val="2"/>
        <scheme val="minor"/>
      </rPr>
      <t xml:space="preserve">
Sales &amp; Marketing: ~30% of revenue
Research &amp; Development: ~41% of revenue
G&amp;A: ~10% of revenue
</t>
    </r>
    <r>
      <rPr>
        <b/>
        <sz val="11"/>
        <color theme="1"/>
        <rFont val="Aptos Narrow"/>
        <family val="2"/>
        <scheme val="minor"/>
      </rPr>
      <t>Interpretation:
The company prioritizes product investment and customer acquisition over short-term profitability, consistent with a mature but still growth-oriented SaaS company.</t>
    </r>
  </si>
  <si>
    <r>
      <rPr>
        <b/>
        <sz val="11"/>
        <color theme="1"/>
        <rFont val="Aptos Narrow"/>
        <family val="2"/>
        <scheme val="minor"/>
      </rPr>
      <t>3. Deferred Revenue Growth Signals Strong Demand, but Short Contract Duration</t>
    </r>
    <r>
      <rPr>
        <sz val="11"/>
        <color theme="1"/>
        <rFont val="Aptos Narrow"/>
        <family val="2"/>
        <scheme val="minor"/>
      </rPr>
      <t xml:space="preserve">
Total Deferred Revenue grows from $2.6B (2021) to $4.0B (2024).
~97% of deferred revenue is recognized within 12 months, with long-term deferred revenue remaining minimal.
</t>
    </r>
    <r>
      <rPr>
        <b/>
        <sz val="11"/>
        <color theme="1"/>
        <rFont val="Aptos Narrow"/>
        <family val="2"/>
        <scheme val="minor"/>
      </rPr>
      <t>Interpretation:
Customers commit reliably, but mostly through annual contracts, not long-term prepaid agreements.
This limits long-term revenue visibility despite strong near-term demand.</t>
    </r>
  </si>
  <si>
    <r>
      <rPr>
        <b/>
        <sz val="11"/>
        <color theme="1"/>
        <rFont val="Aptos Narrow"/>
        <family val="2"/>
        <scheme val="minor"/>
      </rPr>
      <t>4. Positive Operating Cash Flow Is Driven by Non-Cash Adjustments</t>
    </r>
    <r>
      <rPr>
        <sz val="11"/>
        <color theme="1"/>
        <rFont val="Aptos Narrow"/>
        <family val="2"/>
        <scheme val="minor"/>
      </rPr>
      <t xml:space="preserve">
Cash from Operations is positive and increasing.
However, operating cash flow is largely supported by:
High stock-based compensation
Deferred revenue inflows
</t>
    </r>
    <r>
      <rPr>
        <b/>
        <sz val="11"/>
        <color theme="1"/>
        <rFont val="Aptos Narrow"/>
        <family val="2"/>
        <scheme val="minor"/>
      </rPr>
      <t>Interpretation:
Cash generation does not yet reflect sustainable operating profitability.
The business still relies on non-cash expense addbacks rather than margin expansion.</t>
    </r>
  </si>
  <si>
    <r>
      <rPr>
        <b/>
        <sz val="11"/>
        <color theme="1"/>
        <rFont val="Aptos Narrow"/>
        <family val="2"/>
        <scheme val="minor"/>
      </rPr>
      <t>5. Equity Is Continuously Consumed in the Absence of Financing</t>
    </r>
    <r>
      <rPr>
        <sz val="11"/>
        <color theme="1"/>
        <rFont val="Aptos Narrow"/>
        <family val="2"/>
        <scheme val="minor"/>
      </rPr>
      <t xml:space="preserve">
Retained earnings become increasingly negative through the forecast period.
Common Stock &amp; APIC is held constant, implying no assumed future financing.
</t>
    </r>
    <r>
      <rPr>
        <b/>
        <sz val="11"/>
        <color theme="1"/>
        <rFont val="Aptos Narrow"/>
        <family val="2"/>
        <scheme val="minor"/>
      </rPr>
      <t>Interpretation:
Under a “no new capital” assumption, ongoing operating losses continue to erode equity.
This highlights the company’s implicit dependence on future financing or margin improvement.</t>
    </r>
  </si>
  <si>
    <t>What the Model Is (and Is Not)</t>
  </si>
  <si>
    <r>
      <rPr>
        <b/>
        <sz val="11"/>
        <color theme="1"/>
        <rFont val="Aptos Narrow"/>
        <family val="2"/>
        <scheme val="minor"/>
      </rPr>
      <t>Included</t>
    </r>
    <r>
      <rPr>
        <sz val="11"/>
        <color theme="1"/>
        <rFont val="Aptos Narrow"/>
        <family val="2"/>
        <scheme val="minor"/>
      </rPr>
      <t xml:space="preserve">
Driver-based revenue recognition
Expense modeling as % of revenue
Deferred revenue roll-forward and balance sheet integration
Simplified operating cash flow analysis
</t>
    </r>
    <r>
      <rPr>
        <b/>
        <sz val="11"/>
        <color theme="1"/>
        <rFont val="Aptos Narrow"/>
        <family val="2"/>
        <scheme val="minor"/>
      </rPr>
      <t>Excluded</t>
    </r>
    <r>
      <rPr>
        <sz val="11"/>
        <color theme="1"/>
        <rFont val="Aptos Narrow"/>
        <family val="2"/>
        <scheme val="minor"/>
      </rPr>
      <t xml:space="preserve">
Marketable securities activity
Financing transactions and capital raises
FX impacts
Detailed working capital schedules
Valuation (DCF / multiples)
These exclusions are intentional to maintain focus on operating performance and cash dynamics.</t>
    </r>
  </si>
  <si>
    <t>Revenue recognition rate based on 2021 implied pattern
Stable cost structure ratios
Zero effective tax rate during loss-making period (NOLs)
No assumed strategic shift in contract duration
No assumed future equity or debt financing</t>
  </si>
  <si>
    <t>Key Modeling Assumptions</t>
  </si>
  <si>
    <t>Overall Conclusion</t>
  </si>
  <si>
    <t>Workday exhibits strong revenue growth and customer demand but remains structurally unprofitable under current operating assumptions.</t>
  </si>
  <si>
    <t>Sustained profitability will require either margin expansion, cost discipline, or strategic changes to contract structure.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</si>
</sst>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0" fillId="3" borderId="0" xfId="0" applyFill="1"/>
    <xf numFmtId="10" fontId="0" fillId="3" borderId="0" xfId="0" applyNumberFormat="1" applyFill="1"/>
    <xf numFmtId="9" fontId="0" fillId="3" borderId="0" xfId="0" applyNumberFormat="1" applyFill="1"/>
    <xf numFmtId="10" fontId="0" fillId="3" borderId="0" xfId="2" applyNumberFormat="1" applyFont="1" applyFill="1"/>
    <xf numFmtId="164" fontId="0" fillId="4" borderId="0" xfId="1" applyNumberFormat="1" applyFont="1" applyFill="1"/>
    <xf numFmtId="164" fontId="0" fillId="3" borderId="0" xfId="0" applyNumberFormat="1" applyFill="1"/>
    <xf numFmtId="0" fontId="3" fillId="3" borderId="0" xfId="0" applyFont="1" applyFill="1"/>
    <xf numFmtId="164" fontId="0" fillId="3" borderId="0" xfId="1" applyNumberFormat="1" applyFont="1" applyFill="1"/>
    <xf numFmtId="9" fontId="0" fillId="3" borderId="0" xfId="2" applyFont="1" applyFill="1"/>
    <xf numFmtId="164" fontId="2" fillId="3" borderId="0" xfId="0" applyNumberFormat="1" applyFont="1" applyFill="1"/>
    <xf numFmtId="0" fontId="2" fillId="3" borderId="0" xfId="0" applyFont="1" applyFill="1"/>
    <xf numFmtId="164" fontId="2" fillId="3" borderId="0" xfId="1" applyNumberFormat="1" applyFont="1" applyFill="1"/>
    <xf numFmtId="0" fontId="0" fillId="3" borderId="0" xfId="0" applyFill="1" applyAlignment="1"/>
    <xf numFmtId="0" fontId="0" fillId="3" borderId="0" xfId="0" applyFont="1" applyFill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Fill="1" applyAlignment="1"/>
    <xf numFmtId="0" fontId="0" fillId="4" borderId="0" xfId="0" applyFill="1"/>
    <xf numFmtId="9" fontId="0" fillId="4" borderId="0" xfId="2" applyFont="1" applyFill="1"/>
    <xf numFmtId="10" fontId="0" fillId="4" borderId="0" xfId="2" applyNumberFormat="1" applyFont="1" applyFill="1"/>
    <xf numFmtId="165" fontId="0" fillId="4" borderId="0" xfId="2" applyNumberFormat="1" applyFont="1" applyFill="1"/>
    <xf numFmtId="0" fontId="2" fillId="6" borderId="0" xfId="0" applyFont="1" applyFill="1" applyAlignment="1">
      <alignment horizontal="center"/>
    </xf>
    <xf numFmtId="0" fontId="0" fillId="3" borderId="0" xfId="0" applyFill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4" fillId="3" borderId="2" xfId="0" applyFont="1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 wrapTex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84C81-343F-4AF3-AA9E-CC1CB9E238D9}">
  <dimension ref="B2:B25"/>
  <sheetViews>
    <sheetView tabSelected="1" workbookViewId="0">
      <selection activeCell="G7" sqref="G7"/>
    </sheetView>
  </sheetViews>
  <sheetFormatPr defaultRowHeight="14.4" x14ac:dyDescent="0.3"/>
  <cols>
    <col min="1" max="1" width="8.88671875" style="24"/>
    <col min="2" max="2" width="131" style="24" customWidth="1"/>
    <col min="3" max="16384" width="8.88671875" style="24"/>
  </cols>
  <sheetData>
    <row r="2" spans="2:2" ht="23.4" x14ac:dyDescent="0.3">
      <c r="B2" s="25" t="s">
        <v>89</v>
      </c>
    </row>
    <row r="3" spans="2:2" ht="18" x14ac:dyDescent="0.3">
      <c r="B3" s="26" t="s">
        <v>90</v>
      </c>
    </row>
    <row r="4" spans="2:2" ht="28.8" customHeight="1" x14ac:dyDescent="0.3">
      <c r="B4" s="27" t="s">
        <v>91</v>
      </c>
    </row>
    <row r="5" spans="2:2" x14ac:dyDescent="0.3">
      <c r="B5" s="28" t="s">
        <v>92</v>
      </c>
    </row>
    <row r="6" spans="2:2" ht="18" x14ac:dyDescent="0.3">
      <c r="B6" s="26" t="s">
        <v>93</v>
      </c>
    </row>
    <row r="7" spans="2:2" ht="100.8" x14ac:dyDescent="0.3">
      <c r="B7" s="27" t="s">
        <v>94</v>
      </c>
    </row>
    <row r="8" spans="2:2" x14ac:dyDescent="0.3">
      <c r="B8" s="27"/>
    </row>
    <row r="9" spans="2:2" ht="100.8" x14ac:dyDescent="0.3">
      <c r="B9" s="27" t="s">
        <v>95</v>
      </c>
    </row>
    <row r="10" spans="2:2" x14ac:dyDescent="0.3">
      <c r="B10" s="27"/>
    </row>
    <row r="11" spans="2:2" ht="86.4" x14ac:dyDescent="0.3">
      <c r="B11" s="27" t="s">
        <v>96</v>
      </c>
    </row>
    <row r="12" spans="2:2" x14ac:dyDescent="0.3">
      <c r="B12" s="27"/>
    </row>
    <row r="13" spans="2:2" ht="115.2" x14ac:dyDescent="0.3">
      <c r="B13" s="27" t="s">
        <v>97</v>
      </c>
    </row>
    <row r="14" spans="2:2" x14ac:dyDescent="0.3">
      <c r="B14" s="27"/>
    </row>
    <row r="15" spans="2:2" ht="86.4" x14ac:dyDescent="0.3">
      <c r="B15" s="28" t="s">
        <v>98</v>
      </c>
    </row>
    <row r="16" spans="2:2" x14ac:dyDescent="0.3">
      <c r="B16" s="27"/>
    </row>
    <row r="17" spans="2:2" ht="18" x14ac:dyDescent="0.3">
      <c r="B17" s="26" t="s">
        <v>99</v>
      </c>
    </row>
    <row r="18" spans="2:2" ht="187.2" x14ac:dyDescent="0.3">
      <c r="B18" s="28" t="s">
        <v>100</v>
      </c>
    </row>
    <row r="19" spans="2:2" x14ac:dyDescent="0.3">
      <c r="B19" s="27"/>
    </row>
    <row r="20" spans="2:2" ht="18" x14ac:dyDescent="0.3">
      <c r="B20" s="26" t="s">
        <v>102</v>
      </c>
    </row>
    <row r="21" spans="2:2" ht="72" x14ac:dyDescent="0.3">
      <c r="B21" s="28" t="s">
        <v>101</v>
      </c>
    </row>
    <row r="22" spans="2:2" x14ac:dyDescent="0.3">
      <c r="B22" s="27"/>
    </row>
    <row r="23" spans="2:2" ht="18" x14ac:dyDescent="0.3">
      <c r="B23" s="26" t="s">
        <v>103</v>
      </c>
    </row>
    <row r="24" spans="2:2" x14ac:dyDescent="0.3">
      <c r="B24" s="27" t="s">
        <v>104</v>
      </c>
    </row>
    <row r="25" spans="2:2" x14ac:dyDescent="0.3">
      <c r="B25" s="28" t="s">
        <v>105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39DAF-90AB-44FC-BBAF-2F29E22E8842}">
  <dimension ref="B2:K44"/>
  <sheetViews>
    <sheetView topLeftCell="A18" zoomScale="85" zoomScaleNormal="85" workbookViewId="0">
      <selection activeCell="B2" sqref="B2:G44"/>
    </sheetView>
  </sheetViews>
  <sheetFormatPr defaultRowHeight="14.4" x14ac:dyDescent="0.3"/>
  <cols>
    <col min="1" max="1" width="8.88671875" style="1"/>
    <col min="2" max="2" width="23.6640625" style="1" bestFit="1" customWidth="1"/>
    <col min="3" max="4" width="8.88671875" style="1"/>
    <col min="5" max="5" width="13.33203125" style="1" customWidth="1"/>
    <col min="6" max="6" width="44.44140625" style="1" customWidth="1"/>
    <col min="7" max="7" width="11.88671875" style="1" customWidth="1"/>
    <col min="8" max="8" width="2.109375" style="1" customWidth="1"/>
    <col min="9" max="16384" width="8.88671875" style="1"/>
  </cols>
  <sheetData>
    <row r="2" spans="2:11" x14ac:dyDescent="0.3">
      <c r="B2" s="15" t="s">
        <v>66</v>
      </c>
      <c r="C2" s="15"/>
      <c r="D2" s="15"/>
      <c r="F2" s="15" t="s">
        <v>77</v>
      </c>
      <c r="G2" s="15"/>
      <c r="H2" s="13"/>
      <c r="I2" s="13"/>
      <c r="J2" s="13"/>
      <c r="K2" s="13"/>
    </row>
    <row r="3" spans="2:11" x14ac:dyDescent="0.3">
      <c r="C3" s="1">
        <v>2020</v>
      </c>
      <c r="D3" s="1">
        <v>2021</v>
      </c>
      <c r="F3" s="1" t="s">
        <v>67</v>
      </c>
      <c r="G3" s="2">
        <f>Revenue_Build!C8</f>
        <v>0.62040229885057474</v>
      </c>
      <c r="I3" s="7" t="s">
        <v>73</v>
      </c>
    </row>
    <row r="4" spans="2:11" x14ac:dyDescent="0.3">
      <c r="B4" s="1" t="s">
        <v>0</v>
      </c>
      <c r="C4" s="8">
        <v>3627</v>
      </c>
      <c r="D4" s="8">
        <v>4318</v>
      </c>
      <c r="F4" s="1" t="s">
        <v>68</v>
      </c>
      <c r="G4" s="3">
        <f>Revenue_Build!C6</f>
        <v>0.16988592544583536</v>
      </c>
      <c r="H4" s="3"/>
    </row>
    <row r="5" spans="2:11" x14ac:dyDescent="0.3">
      <c r="B5" s="1" t="s">
        <v>1</v>
      </c>
      <c r="C5" s="8">
        <v>1065</v>
      </c>
      <c r="D5" s="8">
        <v>1198</v>
      </c>
      <c r="F5" s="1" t="s">
        <v>69</v>
      </c>
      <c r="G5" s="4">
        <f>(C5+D5)/(C4+D4)</f>
        <v>0.28483322844556325</v>
      </c>
      <c r="H5" s="4"/>
    </row>
    <row r="6" spans="2:11" x14ac:dyDescent="0.3">
      <c r="B6" s="1" t="s">
        <v>2</v>
      </c>
    </row>
    <row r="8" spans="2:11" x14ac:dyDescent="0.3">
      <c r="B8" s="1" t="s">
        <v>3</v>
      </c>
      <c r="C8" s="8">
        <v>1146</v>
      </c>
      <c r="D8" s="8">
        <v>1233</v>
      </c>
      <c r="F8" s="1" t="s">
        <v>70</v>
      </c>
      <c r="G8" s="4">
        <f>SUM(C8:D8)/SUM($C$4:$D$4)</f>
        <v>0.29943360604153557</v>
      </c>
      <c r="H8" s="4"/>
    </row>
    <row r="9" spans="2:11" x14ac:dyDescent="0.3">
      <c r="B9" s="1" t="s">
        <v>4</v>
      </c>
      <c r="C9" s="8">
        <v>1550</v>
      </c>
      <c r="D9" s="8">
        <v>1721</v>
      </c>
      <c r="F9" s="1" t="s">
        <v>71</v>
      </c>
      <c r="G9" s="4">
        <f>SUM(C9:D9)/SUM($C$4:$D$4)</f>
        <v>0.4117054751415985</v>
      </c>
      <c r="H9" s="4"/>
    </row>
    <row r="10" spans="2:11" x14ac:dyDescent="0.3">
      <c r="B10" s="1" t="s">
        <v>5</v>
      </c>
      <c r="C10" s="8">
        <v>368</v>
      </c>
      <c r="D10" s="8">
        <v>414</v>
      </c>
      <c r="F10" s="1" t="s">
        <v>72</v>
      </c>
      <c r="G10" s="4">
        <f>SUM(C10:D10)/SUM($C$4:$D$4)</f>
        <v>9.8426683448709876E-2</v>
      </c>
      <c r="H10" s="4"/>
    </row>
    <row r="11" spans="2:11" x14ac:dyDescent="0.3">
      <c r="B11" s="1" t="s">
        <v>6</v>
      </c>
    </row>
    <row r="13" spans="2:11" x14ac:dyDescent="0.3">
      <c r="B13" s="1" t="s">
        <v>7</v>
      </c>
    </row>
    <row r="15" spans="2:11" x14ac:dyDescent="0.3">
      <c r="B15" s="1" t="s">
        <v>8</v>
      </c>
      <c r="F15" s="1" t="s">
        <v>74</v>
      </c>
    </row>
    <row r="16" spans="2:11" x14ac:dyDescent="0.3">
      <c r="B16" s="1" t="s">
        <v>9</v>
      </c>
      <c r="F16" s="1" t="s">
        <v>75</v>
      </c>
    </row>
    <row r="17" spans="2:10" x14ac:dyDescent="0.3">
      <c r="B17" s="1" t="s">
        <v>10</v>
      </c>
      <c r="C17" s="8">
        <v>20</v>
      </c>
      <c r="D17" s="8">
        <v>-27</v>
      </c>
      <c r="F17" s="1" t="s">
        <v>76</v>
      </c>
    </row>
    <row r="19" spans="2:10" x14ac:dyDescent="0.3">
      <c r="B19" s="1" t="s">
        <v>11</v>
      </c>
      <c r="F19" s="1" t="s">
        <v>83</v>
      </c>
    </row>
    <row r="20" spans="2:10" x14ac:dyDescent="0.3">
      <c r="B20" s="1" t="s">
        <v>12</v>
      </c>
      <c r="C20" s="8">
        <v>-2</v>
      </c>
      <c r="D20" s="8">
        <v>7</v>
      </c>
    </row>
    <row r="21" spans="2:10" x14ac:dyDescent="0.3">
      <c r="B21" s="1" t="s">
        <v>13</v>
      </c>
      <c r="C21" s="8">
        <v>-481</v>
      </c>
      <c r="D21" s="8">
        <v>-282</v>
      </c>
    </row>
    <row r="23" spans="2:10" x14ac:dyDescent="0.3">
      <c r="G23" s="13"/>
      <c r="H23" s="13"/>
      <c r="I23" s="13"/>
      <c r="J23" s="13"/>
    </row>
    <row r="24" spans="2:10" x14ac:dyDescent="0.3">
      <c r="B24" s="17" t="s">
        <v>33</v>
      </c>
      <c r="C24" s="17"/>
      <c r="D24" s="17"/>
      <c r="E24" s="18"/>
      <c r="F24" s="17" t="s">
        <v>77</v>
      </c>
      <c r="G24" s="17"/>
    </row>
    <row r="25" spans="2:10" x14ac:dyDescent="0.3">
      <c r="B25" s="1" t="s">
        <v>13</v>
      </c>
      <c r="C25" s="8">
        <v>-481</v>
      </c>
      <c r="D25" s="8">
        <v>-282</v>
      </c>
      <c r="E25" s="8"/>
    </row>
    <row r="26" spans="2:10" x14ac:dyDescent="0.3">
      <c r="B26" s="1" t="s">
        <v>34</v>
      </c>
      <c r="C26" s="8">
        <v>276.27800000000002</v>
      </c>
      <c r="D26" s="8">
        <v>293.65699999999998</v>
      </c>
      <c r="E26" s="8"/>
      <c r="F26" s="1" t="s">
        <v>78</v>
      </c>
      <c r="G26" s="4">
        <f>AVERAGE((D26/D4),(C26/C4))</f>
        <v>7.2090118428854252E-2</v>
      </c>
    </row>
    <row r="27" spans="2:10" x14ac:dyDescent="0.3">
      <c r="B27" s="1" t="s">
        <v>35</v>
      </c>
      <c r="C27" s="8">
        <v>959.57100000000003</v>
      </c>
      <c r="D27" s="8">
        <v>1004.854</v>
      </c>
      <c r="E27" s="8"/>
      <c r="F27" s="1" t="s">
        <v>79</v>
      </c>
      <c r="G27" s="4">
        <f>AVERAGE((C27/C4),(D27/D4))</f>
        <v>0.24863805272406925</v>
      </c>
    </row>
    <row r="28" spans="2:10" x14ac:dyDescent="0.3">
      <c r="B28" s="1" t="s">
        <v>36</v>
      </c>
      <c r="C28" s="8">
        <v>110.04900000000009</v>
      </c>
      <c r="D28" s="8">
        <v>251.93000000000006</v>
      </c>
      <c r="E28" s="8"/>
      <c r="F28" s="1" t="s">
        <v>80</v>
      </c>
    </row>
    <row r="29" spans="2:10" x14ac:dyDescent="0.3">
      <c r="B29" s="1" t="s">
        <v>37</v>
      </c>
      <c r="C29" s="8">
        <v>864.89800000000002</v>
      </c>
      <c r="D29" s="8">
        <v>1268.441</v>
      </c>
      <c r="E29" s="8"/>
    </row>
    <row r="30" spans="2:10" x14ac:dyDescent="0.3">
      <c r="C30" s="8"/>
      <c r="D30" s="8"/>
      <c r="E30" s="8"/>
    </row>
    <row r="31" spans="2:10" x14ac:dyDescent="0.3">
      <c r="B31" s="1" t="s">
        <v>38</v>
      </c>
      <c r="C31" s="8">
        <v>-243.69399999999999</v>
      </c>
      <c r="D31" s="8">
        <v>-253.38</v>
      </c>
      <c r="E31" s="8"/>
      <c r="F31" s="1" t="s">
        <v>81</v>
      </c>
      <c r="G31" s="4">
        <f>AVERAGE((ABS(C31)/C4),(ABS(D31)/D4))</f>
        <v>6.2934402868302972E-2</v>
      </c>
    </row>
    <row r="32" spans="2:10" x14ac:dyDescent="0.3">
      <c r="B32" s="1" t="s">
        <v>39</v>
      </c>
      <c r="C32" s="8"/>
      <c r="D32" s="8"/>
      <c r="E32" s="8"/>
    </row>
    <row r="33" spans="2:7" x14ac:dyDescent="0.3">
      <c r="C33" s="8"/>
      <c r="D33" s="8"/>
      <c r="E33" s="8"/>
    </row>
    <row r="34" spans="2:7" x14ac:dyDescent="0.3">
      <c r="B34" s="1" t="s">
        <v>40</v>
      </c>
      <c r="C34" s="8"/>
      <c r="D34" s="8"/>
      <c r="E34" s="8"/>
    </row>
    <row r="35" spans="2:7" x14ac:dyDescent="0.3">
      <c r="B35" s="1" t="s">
        <v>41</v>
      </c>
      <c r="C35" s="8"/>
      <c r="D35" s="8"/>
      <c r="E35" s="8"/>
    </row>
    <row r="36" spans="2:7" x14ac:dyDescent="0.3">
      <c r="B36" s="1" t="s">
        <v>42</v>
      </c>
      <c r="C36" s="8"/>
      <c r="D36" s="8"/>
      <c r="E36" s="8"/>
    </row>
    <row r="37" spans="2:7" x14ac:dyDescent="0.3">
      <c r="C37" s="8"/>
      <c r="D37" s="8"/>
      <c r="E37" s="8"/>
    </row>
    <row r="38" spans="2:7" x14ac:dyDescent="0.3">
      <c r="B38" s="1" t="s">
        <v>43</v>
      </c>
      <c r="C38" s="8"/>
      <c r="D38" s="8"/>
      <c r="E38" s="8"/>
    </row>
    <row r="39" spans="2:7" x14ac:dyDescent="0.3">
      <c r="B39" s="1" t="s">
        <v>44</v>
      </c>
      <c r="C39" s="8">
        <v>642.20299999999997</v>
      </c>
      <c r="D39" s="8">
        <v>734.721</v>
      </c>
      <c r="E39" s="8"/>
    </row>
    <row r="40" spans="2:7" x14ac:dyDescent="0.3">
      <c r="B40" s="1" t="s">
        <v>45</v>
      </c>
      <c r="C40" s="8">
        <v>734.721</v>
      </c>
      <c r="D40" s="8">
        <v>1387.921</v>
      </c>
      <c r="E40" s="8"/>
    </row>
    <row r="42" spans="2:7" x14ac:dyDescent="0.3">
      <c r="B42" s="16" t="s">
        <v>14</v>
      </c>
      <c r="C42" s="16"/>
      <c r="D42" s="16"/>
      <c r="F42" s="16" t="s">
        <v>77</v>
      </c>
      <c r="G42" s="16"/>
    </row>
    <row r="43" spans="2:7" x14ac:dyDescent="0.3">
      <c r="B43" s="14" t="s">
        <v>86</v>
      </c>
      <c r="F43" s="1" t="s">
        <v>84</v>
      </c>
      <c r="G43" s="9">
        <f>AVERAGE(('Financial Statements'!I16/'Financial Statements'!I30),('Financial Statements'!J16/'Financial Statements'!J30))</f>
        <v>0.96636195956876725</v>
      </c>
    </row>
    <row r="44" spans="2:7" x14ac:dyDescent="0.3">
      <c r="B44" s="1" t="s">
        <v>87</v>
      </c>
      <c r="F44" s="1" t="s">
        <v>88</v>
      </c>
      <c r="G44" s="3">
        <f>1-G43</f>
        <v>3.3638040431232752E-2</v>
      </c>
    </row>
  </sheetData>
  <mergeCells count="6">
    <mergeCell ref="B42:D42"/>
    <mergeCell ref="F42:G42"/>
    <mergeCell ref="B24:D24"/>
    <mergeCell ref="B2:D2"/>
    <mergeCell ref="F24:G24"/>
    <mergeCell ref="F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BA30-2955-4BD0-B884-98BB40B3B67B}">
  <dimension ref="A2:T38"/>
  <sheetViews>
    <sheetView zoomScale="70" zoomScaleNormal="70" workbookViewId="0">
      <selection activeCell="A2" sqref="A2:T31"/>
    </sheetView>
  </sheetViews>
  <sheetFormatPr defaultRowHeight="14.4" x14ac:dyDescent="0.3"/>
  <cols>
    <col min="1" max="1" width="22.88671875" style="1" bestFit="1" customWidth="1"/>
    <col min="2" max="3" width="10.21875" style="1" bestFit="1" customWidth="1"/>
    <col min="4" max="6" width="8.88671875" style="1"/>
    <col min="7" max="7" width="2.109375" style="1" customWidth="1"/>
    <col min="8" max="8" width="30.109375" style="1" bestFit="1" customWidth="1"/>
    <col min="9" max="10" width="11" style="1" bestFit="1" customWidth="1"/>
    <col min="11" max="13" width="9" style="1" bestFit="1" customWidth="1"/>
    <col min="14" max="14" width="1.6640625" style="1" customWidth="1"/>
    <col min="15" max="15" width="25.5546875" style="1" bestFit="1" customWidth="1"/>
    <col min="16" max="16" width="9.44140625" style="1" bestFit="1" customWidth="1"/>
    <col min="17" max="17" width="10.21875" style="1" bestFit="1" customWidth="1"/>
    <col min="18" max="20" width="9" style="1" bestFit="1" customWidth="1"/>
    <col min="21" max="16384" width="8.88671875" style="1"/>
  </cols>
  <sheetData>
    <row r="2" spans="1:20" x14ac:dyDescent="0.3">
      <c r="A2" s="15" t="s">
        <v>46</v>
      </c>
      <c r="B2" s="15"/>
      <c r="C2" s="15"/>
      <c r="D2" s="15"/>
      <c r="E2" s="15"/>
      <c r="F2" s="15"/>
      <c r="H2" s="16" t="s">
        <v>14</v>
      </c>
      <c r="I2" s="16"/>
      <c r="J2" s="16"/>
      <c r="K2" s="16"/>
      <c r="L2" s="16"/>
      <c r="M2" s="16"/>
      <c r="O2" s="17" t="s">
        <v>33</v>
      </c>
      <c r="P2" s="17"/>
      <c r="Q2" s="17"/>
      <c r="R2" s="17"/>
      <c r="S2" s="17"/>
      <c r="T2" s="17"/>
    </row>
    <row r="3" spans="1:20" x14ac:dyDescent="0.3">
      <c r="B3" s="1">
        <v>2020</v>
      </c>
      <c r="C3" s="1">
        <v>2021</v>
      </c>
      <c r="D3" s="1">
        <v>2022</v>
      </c>
      <c r="E3" s="1">
        <v>2023</v>
      </c>
      <c r="F3" s="1">
        <v>2024</v>
      </c>
      <c r="I3" s="1">
        <v>2020</v>
      </c>
      <c r="J3" s="1">
        <v>2021</v>
      </c>
      <c r="K3" s="1">
        <v>2022</v>
      </c>
      <c r="L3" s="1">
        <v>2023</v>
      </c>
      <c r="M3" s="1">
        <v>2024</v>
      </c>
      <c r="P3" s="1">
        <v>2020</v>
      </c>
      <c r="Q3" s="1">
        <v>2021</v>
      </c>
      <c r="R3" s="1">
        <v>2022</v>
      </c>
      <c r="S3" s="1">
        <v>2023</v>
      </c>
      <c r="T3" s="1">
        <v>2024</v>
      </c>
    </row>
    <row r="4" spans="1:20" x14ac:dyDescent="0.3">
      <c r="A4" s="1" t="s">
        <v>0</v>
      </c>
      <c r="B4" s="8">
        <v>3627</v>
      </c>
      <c r="C4" s="8">
        <v>4318</v>
      </c>
      <c r="D4" s="5">
        <f>Revenue_Build!D9</f>
        <v>4989.7255250685375</v>
      </c>
      <c r="E4" s="5">
        <f>Revenue_Build!E9</f>
        <v>5747.3623491113494</v>
      </c>
      <c r="F4" s="5">
        <f>Revenue_Build!F9</f>
        <v>6573.9869163744224</v>
      </c>
      <c r="H4" s="1" t="s">
        <v>15</v>
      </c>
      <c r="I4" s="8">
        <v>731</v>
      </c>
      <c r="J4" s="8">
        <v>1384</v>
      </c>
      <c r="K4" s="8"/>
      <c r="L4" s="8"/>
      <c r="M4" s="8"/>
      <c r="O4" s="1" t="s">
        <v>13</v>
      </c>
      <c r="P4" s="8">
        <f>B21</f>
        <v>-481</v>
      </c>
      <c r="Q4" s="8">
        <f>C21</f>
        <v>-282</v>
      </c>
      <c r="R4" s="8">
        <f t="shared" ref="R4:T4" si="0">D21</f>
        <v>-471.02506529910625</v>
      </c>
      <c r="S4" s="8">
        <f t="shared" si="0"/>
        <v>-542.54521860711247</v>
      </c>
      <c r="T4" s="8">
        <f t="shared" si="0"/>
        <v>-620.57774540979517</v>
      </c>
    </row>
    <row r="5" spans="1:20" x14ac:dyDescent="0.3">
      <c r="A5" s="1" t="s">
        <v>1</v>
      </c>
      <c r="B5" s="8">
        <v>1065</v>
      </c>
      <c r="C5" s="8">
        <v>1198</v>
      </c>
      <c r="D5" s="5">
        <f>D4*Assumptions!$G$5</f>
        <v>1421.2396303625048</v>
      </c>
      <c r="E5" s="5">
        <f>E4*Assumptions!$G$5</f>
        <v>1637.0397729438621</v>
      </c>
      <c r="F5" s="5">
        <f>F4*Assumptions!$G$5</f>
        <v>1872.4899171498198</v>
      </c>
      <c r="H5" s="1" t="s">
        <v>49</v>
      </c>
      <c r="I5" s="6">
        <f>P19-I4</f>
        <v>3.7210000000000036</v>
      </c>
      <c r="J5" s="6">
        <f>Q19-J4</f>
        <v>3.9210000000000491</v>
      </c>
      <c r="K5" s="6">
        <f t="shared" ref="K5:M5" si="1">R19-K4</f>
        <v>2203.2160805142689</v>
      </c>
      <c r="L5" s="6">
        <f t="shared" si="1"/>
        <v>3504.0118770908098</v>
      </c>
      <c r="M5" s="6">
        <f t="shared" si="1"/>
        <v>4991.8969325530306</v>
      </c>
      <c r="O5" s="1" t="s">
        <v>34</v>
      </c>
      <c r="P5" s="8">
        <v>276.27800000000002</v>
      </c>
      <c r="Q5" s="8">
        <v>293.65699999999998</v>
      </c>
      <c r="R5" s="5">
        <f>D4*Assumptions!$G$26</f>
        <v>359.70990402966783</v>
      </c>
      <c r="S5" s="5">
        <f>E4*Assumptions!$G$26</f>
        <v>414.32803240097513</v>
      </c>
      <c r="T5" s="5">
        <f>F4*Assumptions!$G$26</f>
        <v>473.9194953511705</v>
      </c>
    </row>
    <row r="6" spans="1:20" x14ac:dyDescent="0.3">
      <c r="A6" s="1" t="s">
        <v>2</v>
      </c>
      <c r="B6" s="6">
        <f>B4-B5</f>
        <v>2562</v>
      </c>
      <c r="C6" s="6">
        <f t="shared" ref="C6:F6" si="2">C4-C5</f>
        <v>3120</v>
      </c>
      <c r="D6" s="6">
        <f t="shared" si="2"/>
        <v>3568.4858947060329</v>
      </c>
      <c r="E6" s="6">
        <f t="shared" si="2"/>
        <v>4110.3225761674876</v>
      </c>
      <c r="F6" s="6">
        <f t="shared" si="2"/>
        <v>4701.4969992246024</v>
      </c>
      <c r="H6" s="1" t="s">
        <v>16</v>
      </c>
      <c r="I6" s="8">
        <v>1213</v>
      </c>
      <c r="J6" s="8">
        <v>2151</v>
      </c>
      <c r="K6" s="8"/>
      <c r="L6" s="8"/>
      <c r="M6" s="8"/>
      <c r="O6" s="1" t="s">
        <v>35</v>
      </c>
      <c r="P6" s="8">
        <v>959.57100000000003</v>
      </c>
      <c r="Q6" s="8">
        <v>1004.854</v>
      </c>
      <c r="R6" s="5">
        <f>D4*Assumptions!$G$27</f>
        <v>1240.6356381806252</v>
      </c>
      <c r="S6" s="5">
        <f>E4*Assumptions!$G$27</f>
        <v>1429.0129827826781</v>
      </c>
      <c r="T6" s="5">
        <f>F4*Assumptions!$G$27</f>
        <v>1634.543305520845</v>
      </c>
    </row>
    <row r="7" spans="1:20" x14ac:dyDescent="0.3">
      <c r="H7" s="1" t="s">
        <v>17</v>
      </c>
      <c r="I7" s="8">
        <v>878</v>
      </c>
      <c r="J7" s="8">
        <v>1032</v>
      </c>
      <c r="K7" s="8"/>
      <c r="L7" s="8"/>
      <c r="M7" s="8"/>
      <c r="O7" s="1" t="s">
        <v>36</v>
      </c>
      <c r="P7" s="8">
        <f>P8-P4-P5-P6</f>
        <v>110.04900000000009</v>
      </c>
      <c r="Q7" s="8">
        <f t="shared" ref="Q7:T7" si="3">Q8-Q4-Q5-Q6</f>
        <v>251.93000000000006</v>
      </c>
      <c r="R7" s="8">
        <v>0</v>
      </c>
      <c r="S7" s="8">
        <v>0</v>
      </c>
      <c r="T7" s="8">
        <v>0</v>
      </c>
    </row>
    <row r="8" spans="1:20" x14ac:dyDescent="0.3">
      <c r="A8" s="1" t="s">
        <v>3</v>
      </c>
      <c r="B8" s="8">
        <v>1146</v>
      </c>
      <c r="C8" s="8">
        <v>1233</v>
      </c>
      <c r="D8" s="5">
        <f>D4*Assumptions!$G$8</f>
        <v>1494.0915071287666</v>
      </c>
      <c r="E8" s="5">
        <f>E4*Assumptions!$G$8</f>
        <v>1720.9534334217622</v>
      </c>
      <c r="F8" s="5">
        <f>F4*Assumptions!$G$8</f>
        <v>1968.4726084398681</v>
      </c>
      <c r="H8" s="1" t="s">
        <v>18</v>
      </c>
      <c r="I8" s="8">
        <v>272</v>
      </c>
      <c r="J8" s="8">
        <v>234</v>
      </c>
      <c r="K8" s="8"/>
      <c r="L8" s="8"/>
      <c r="M8" s="8"/>
      <c r="O8" s="1" t="s">
        <v>37</v>
      </c>
      <c r="P8" s="8">
        <v>864.89800000000002</v>
      </c>
      <c r="Q8" s="8">
        <v>1268.441</v>
      </c>
      <c r="R8" s="8">
        <f>SUM(R4:R7)</f>
        <v>1129.3204769111867</v>
      </c>
      <c r="S8" s="8">
        <f t="shared" ref="S8:T8" si="4">SUM(S4:S7)</f>
        <v>1300.7957965765409</v>
      </c>
      <c r="T8" s="8">
        <f t="shared" si="4"/>
        <v>1487.8850554622204</v>
      </c>
    </row>
    <row r="9" spans="1:20" x14ac:dyDescent="0.3">
      <c r="A9" s="1" t="s">
        <v>4</v>
      </c>
      <c r="B9" s="8">
        <v>1550</v>
      </c>
      <c r="C9" s="8">
        <v>1721</v>
      </c>
      <c r="D9" s="5">
        <f>D4*Assumptions!$G$9</f>
        <v>2054.2973181245043</v>
      </c>
      <c r="E9" s="5">
        <f>E4*Assumptions!$G$9</f>
        <v>2366.220546751822</v>
      </c>
      <c r="F9" s="5">
        <f>F4*Assumptions!$G$9</f>
        <v>2706.5464069805835</v>
      </c>
      <c r="H9" s="11" t="s">
        <v>19</v>
      </c>
      <c r="I9" s="12">
        <f>SUM(I4:I8)</f>
        <v>3097.721</v>
      </c>
      <c r="J9" s="12">
        <f>SUM(J4:J8)</f>
        <v>4804.9210000000003</v>
      </c>
      <c r="K9" s="12">
        <f>SUM(K4:K8)</f>
        <v>2203.2160805142689</v>
      </c>
      <c r="L9" s="12">
        <f>SUM(L4:L8)</f>
        <v>3504.0118770908098</v>
      </c>
      <c r="M9" s="12">
        <f>SUM(M4:M8)</f>
        <v>4991.8969325530306</v>
      </c>
    </row>
    <row r="10" spans="1:20" x14ac:dyDescent="0.3">
      <c r="A10" s="1" t="s">
        <v>5</v>
      </c>
      <c r="B10" s="8">
        <v>368</v>
      </c>
      <c r="C10" s="8">
        <v>414</v>
      </c>
      <c r="D10" s="5">
        <f>D4*Assumptions!$G$10</f>
        <v>491.1221347518686</v>
      </c>
      <c r="E10" s="5">
        <f>E4*Assumptions!$G$10</f>
        <v>565.69381460101636</v>
      </c>
      <c r="F10" s="5">
        <f>F4*Assumptions!$G$10</f>
        <v>647.0557292139456</v>
      </c>
      <c r="O10" s="1" t="s">
        <v>38</v>
      </c>
      <c r="P10" s="8">
        <v>-243.69399999999999</v>
      </c>
      <c r="Q10" s="8">
        <v>-253.38</v>
      </c>
      <c r="R10" s="5">
        <f>-D4*Assumptions!G31</f>
        <v>-314.02539639691793</v>
      </c>
      <c r="S10" s="5">
        <f>-E4*Assumptions!H31</f>
        <v>0</v>
      </c>
      <c r="T10" s="5">
        <f>-F4*Assumptions!I31</f>
        <v>0</v>
      </c>
    </row>
    <row r="11" spans="1:20" x14ac:dyDescent="0.3">
      <c r="A11" s="1" t="s">
        <v>6</v>
      </c>
      <c r="B11" s="10">
        <f>B8+B9+B10</f>
        <v>3064</v>
      </c>
      <c r="C11" s="10">
        <f t="shared" ref="C11:F11" si="5">C8+C9+C10</f>
        <v>3368</v>
      </c>
      <c r="D11" s="10">
        <f t="shared" si="5"/>
        <v>4039.5109600051392</v>
      </c>
      <c r="E11" s="10">
        <f t="shared" si="5"/>
        <v>4652.8677947746</v>
      </c>
      <c r="F11" s="10">
        <f t="shared" si="5"/>
        <v>5322.0747446343976</v>
      </c>
      <c r="H11" s="1" t="s">
        <v>20</v>
      </c>
      <c r="I11" s="8">
        <v>936</v>
      </c>
      <c r="J11" s="8">
        <v>972</v>
      </c>
      <c r="K11" s="8"/>
      <c r="L11" s="8"/>
      <c r="M11" s="8"/>
      <c r="O11" s="1" t="s">
        <v>39</v>
      </c>
      <c r="P11" s="8">
        <f>P10</f>
        <v>-243.69399999999999</v>
      </c>
      <c r="Q11" s="8">
        <f t="shared" ref="Q11:T11" si="6">Q10</f>
        <v>-253.38</v>
      </c>
      <c r="R11" s="8">
        <f t="shared" si="6"/>
        <v>-314.02539639691793</v>
      </c>
      <c r="S11" s="8">
        <f t="shared" si="6"/>
        <v>0</v>
      </c>
      <c r="T11" s="8">
        <f t="shared" si="6"/>
        <v>0</v>
      </c>
    </row>
    <row r="12" spans="1:20" x14ac:dyDescent="0.3">
      <c r="H12" s="1" t="s">
        <v>21</v>
      </c>
      <c r="I12" s="8">
        <v>2784</v>
      </c>
      <c r="J12" s="8">
        <v>2945</v>
      </c>
      <c r="K12" s="8"/>
      <c r="L12" s="8"/>
      <c r="M12" s="8"/>
    </row>
    <row r="13" spans="1:20" x14ac:dyDescent="0.3">
      <c r="A13" s="1" t="s">
        <v>7</v>
      </c>
      <c r="B13" s="6">
        <f>B6-B11</f>
        <v>-502</v>
      </c>
      <c r="C13" s="6">
        <f t="shared" ref="C13:F13" si="7">C6-C11</f>
        <v>-248</v>
      </c>
      <c r="D13" s="6">
        <f t="shared" si="7"/>
        <v>-471.02506529910625</v>
      </c>
      <c r="E13" s="6">
        <f t="shared" si="7"/>
        <v>-542.54521860711247</v>
      </c>
      <c r="F13" s="6">
        <f t="shared" si="7"/>
        <v>-620.57774540979517</v>
      </c>
      <c r="H13" s="11" t="s">
        <v>22</v>
      </c>
      <c r="I13" s="12">
        <f>SUM(I11:I12)</f>
        <v>3720</v>
      </c>
      <c r="J13" s="12">
        <f t="shared" ref="J13:M13" si="8">SUM(J11:J12)</f>
        <v>3917</v>
      </c>
      <c r="K13" s="12">
        <f t="shared" si="8"/>
        <v>0</v>
      </c>
      <c r="L13" s="12">
        <f t="shared" si="8"/>
        <v>0</v>
      </c>
      <c r="M13" s="12">
        <f t="shared" si="8"/>
        <v>0</v>
      </c>
      <c r="O13" s="1" t="s">
        <v>40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</row>
    <row r="14" spans="1:20" x14ac:dyDescent="0.3">
      <c r="O14" s="1" t="s">
        <v>41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</row>
    <row r="15" spans="1:20" x14ac:dyDescent="0.3">
      <c r="A15" s="1" t="s">
        <v>8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H15" s="1" t="s">
        <v>23</v>
      </c>
      <c r="I15" s="8">
        <v>58</v>
      </c>
      <c r="J15" s="8">
        <v>76</v>
      </c>
      <c r="K15" s="8"/>
      <c r="L15" s="8"/>
      <c r="M15" s="8"/>
      <c r="O15" s="1" t="s">
        <v>42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</row>
    <row r="16" spans="1:20" x14ac:dyDescent="0.3">
      <c r="A16" s="1" t="s">
        <v>9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H16" s="1" t="s">
        <v>47</v>
      </c>
      <c r="I16" s="8">
        <v>2223</v>
      </c>
      <c r="J16" s="8">
        <v>2557</v>
      </c>
      <c r="K16" s="5">
        <f>K30*Assumptions!$G$43</f>
        <v>2952.1036168990822</v>
      </c>
      <c r="L16" s="5">
        <f>L30*Assumptions!$G$43</f>
        <v>3400.3491962031653</v>
      </c>
      <c r="M16" s="5">
        <f>M30*Assumptions!$G$43</f>
        <v>3889.4104406694009</v>
      </c>
    </row>
    <row r="17" spans="1:20" x14ac:dyDescent="0.3">
      <c r="A17" s="1" t="s">
        <v>10</v>
      </c>
      <c r="B17" s="8">
        <v>20</v>
      </c>
      <c r="C17" s="8">
        <v>-27</v>
      </c>
      <c r="D17" s="8">
        <v>0</v>
      </c>
      <c r="E17" s="8">
        <v>0</v>
      </c>
      <c r="F17" s="8">
        <v>0</v>
      </c>
      <c r="H17" s="1" t="s">
        <v>48</v>
      </c>
      <c r="I17" s="8">
        <v>244</v>
      </c>
      <c r="J17" s="8">
        <v>1103</v>
      </c>
      <c r="K17" s="8"/>
      <c r="L17" s="8"/>
      <c r="M17" s="8"/>
      <c r="O17" s="1" t="s">
        <v>43</v>
      </c>
      <c r="P17" s="8">
        <v>92.5</v>
      </c>
      <c r="Q17" s="8">
        <v>653.20000000000005</v>
      </c>
      <c r="R17" s="5">
        <f t="shared" ref="Q17:T17" si="9">R8+R11+R15</f>
        <v>815.29508051426876</v>
      </c>
      <c r="S17" s="5">
        <f t="shared" si="9"/>
        <v>1300.7957965765409</v>
      </c>
      <c r="T17" s="5">
        <f t="shared" si="9"/>
        <v>1487.8850554622204</v>
      </c>
    </row>
    <row r="18" spans="1:20" x14ac:dyDescent="0.3">
      <c r="H18" s="1" t="s">
        <v>25</v>
      </c>
      <c r="I18" s="8">
        <v>444</v>
      </c>
      <c r="J18" s="8">
        <v>547</v>
      </c>
      <c r="K18" s="8"/>
      <c r="L18" s="8"/>
      <c r="M18" s="8"/>
      <c r="O18" s="1" t="s">
        <v>44</v>
      </c>
      <c r="P18" s="8">
        <v>642.20299999999997</v>
      </c>
      <c r="Q18" s="8">
        <f>P19</f>
        <v>734.721</v>
      </c>
      <c r="R18" s="8">
        <f>Q19</f>
        <v>1387.921</v>
      </c>
      <c r="S18" s="8">
        <f t="shared" ref="S18:T18" si="10">R19</f>
        <v>2203.2160805142689</v>
      </c>
      <c r="T18" s="8">
        <f t="shared" si="10"/>
        <v>3504.0118770908098</v>
      </c>
    </row>
    <row r="19" spans="1:20" x14ac:dyDescent="0.3">
      <c r="A19" s="1" t="s">
        <v>11</v>
      </c>
      <c r="B19" s="6">
        <f>B13+B15-B16+B17</f>
        <v>-482</v>
      </c>
      <c r="C19" s="6">
        <f t="shared" ref="C19:F19" si="11">C13+C15-C16+C17</f>
        <v>-275</v>
      </c>
      <c r="D19" s="6">
        <f t="shared" si="11"/>
        <v>-471.02506529910625</v>
      </c>
      <c r="E19" s="6">
        <f t="shared" si="11"/>
        <v>-542.54521860711247</v>
      </c>
      <c r="F19" s="6">
        <f t="shared" si="11"/>
        <v>-620.57774540979517</v>
      </c>
      <c r="H19" s="11" t="s">
        <v>26</v>
      </c>
      <c r="I19" s="12">
        <f>SUM(I15:I18)</f>
        <v>2969</v>
      </c>
      <c r="J19" s="12">
        <f t="shared" ref="J19:M19" si="12">SUM(J15:J18)</f>
        <v>4283</v>
      </c>
      <c r="K19" s="12">
        <f t="shared" si="12"/>
        <v>2952.1036168990822</v>
      </c>
      <c r="L19" s="12">
        <f t="shared" si="12"/>
        <v>3400.3491962031653</v>
      </c>
      <c r="M19" s="12">
        <f t="shared" si="12"/>
        <v>3889.4104406694009</v>
      </c>
      <c r="O19" s="1" t="s">
        <v>45</v>
      </c>
      <c r="P19" s="8">
        <v>734.721</v>
      </c>
      <c r="Q19" s="8">
        <v>1387.921</v>
      </c>
      <c r="R19" s="8">
        <f>R18+R17</f>
        <v>2203.2160805142689</v>
      </c>
      <c r="S19" s="8">
        <f t="shared" ref="S19:T19" si="13">S18+S17</f>
        <v>3504.0118770908098</v>
      </c>
      <c r="T19" s="8">
        <f t="shared" si="13"/>
        <v>4991.8969325530306</v>
      </c>
    </row>
    <row r="20" spans="1:20" x14ac:dyDescent="0.3">
      <c r="A20" s="1" t="s">
        <v>12</v>
      </c>
      <c r="B20" s="8">
        <v>-2</v>
      </c>
      <c r="C20" s="8">
        <v>7</v>
      </c>
      <c r="D20" s="8">
        <v>0</v>
      </c>
      <c r="E20" s="8">
        <v>0</v>
      </c>
      <c r="F20" s="8">
        <v>0</v>
      </c>
    </row>
    <row r="21" spans="1:20" x14ac:dyDescent="0.3">
      <c r="A21" s="1" t="s">
        <v>13</v>
      </c>
      <c r="B21" s="8">
        <v>-481</v>
      </c>
      <c r="C21" s="8">
        <v>-282</v>
      </c>
      <c r="D21" s="8">
        <f>D19-D20</f>
        <v>-471.02506529910625</v>
      </c>
      <c r="E21" s="8">
        <f t="shared" ref="E21:F21" si="14">E19-E20</f>
        <v>-542.54521860711247</v>
      </c>
      <c r="F21" s="8">
        <f t="shared" si="14"/>
        <v>-620.57774540979517</v>
      </c>
      <c r="H21" s="1" t="s">
        <v>27</v>
      </c>
      <c r="I21" s="8">
        <v>692</v>
      </c>
      <c r="J21" s="8">
        <v>1018</v>
      </c>
      <c r="K21" s="8"/>
      <c r="L21" s="8"/>
      <c r="M21" s="8"/>
      <c r="O21" s="7" t="s">
        <v>82</v>
      </c>
    </row>
    <row r="22" spans="1:20" x14ac:dyDescent="0.3">
      <c r="H22" s="1" t="s">
        <v>24</v>
      </c>
      <c r="I22" s="8">
        <v>80</v>
      </c>
      <c r="J22" s="8">
        <v>86</v>
      </c>
      <c r="K22" s="5">
        <f>K30*Assumptions!$G$44</f>
        <v>102.75961283363542</v>
      </c>
      <c r="L22" s="5">
        <f>L30*Assumptions!$G$44</f>
        <v>118.36256861066188</v>
      </c>
      <c r="M22" s="5">
        <f>M30*Assumptions!$G$44</f>
        <v>135.38627463696841</v>
      </c>
    </row>
    <row r="23" spans="1:20" x14ac:dyDescent="0.3">
      <c r="H23" s="1" t="s">
        <v>28</v>
      </c>
      <c r="I23" s="8">
        <v>256</v>
      </c>
      <c r="J23" s="8">
        <v>386</v>
      </c>
      <c r="K23" s="8"/>
      <c r="L23" s="8"/>
      <c r="M23" s="8"/>
    </row>
    <row r="24" spans="1:20" x14ac:dyDescent="0.3">
      <c r="H24" s="11" t="s">
        <v>29</v>
      </c>
      <c r="I24" s="12">
        <f>SUM(I21:I23)</f>
        <v>1028</v>
      </c>
      <c r="J24" s="12">
        <f t="shared" ref="J24:M24" si="15">SUM(J21:J23)</f>
        <v>1490</v>
      </c>
      <c r="K24" s="12">
        <f t="shared" si="15"/>
        <v>102.75961283363542</v>
      </c>
      <c r="L24" s="12">
        <f t="shared" si="15"/>
        <v>118.36256861066188</v>
      </c>
      <c r="M24" s="12">
        <f t="shared" si="15"/>
        <v>135.38627463696841</v>
      </c>
    </row>
    <row r="26" spans="1:20" x14ac:dyDescent="0.3">
      <c r="H26" s="1" t="s">
        <v>30</v>
      </c>
      <c r="I26" s="8">
        <v>5344</v>
      </c>
      <c r="J26" s="8">
        <v>6430</v>
      </c>
      <c r="K26" s="8"/>
      <c r="L26" s="8"/>
      <c r="M26" s="8"/>
    </row>
    <row r="27" spans="1:20" x14ac:dyDescent="0.3">
      <c r="H27" s="1" t="s">
        <v>31</v>
      </c>
      <c r="I27" s="8">
        <v>-2627</v>
      </c>
      <c r="J27" s="8">
        <v>-2910</v>
      </c>
      <c r="K27" s="5">
        <f>J27+D21</f>
        <v>-3381.0250652991062</v>
      </c>
      <c r="L27" s="5">
        <f>K27+E21</f>
        <v>-3923.5702839062187</v>
      </c>
      <c r="M27" s="5">
        <f t="shared" ref="L27:M27" si="16">L27+F21</f>
        <v>-4544.1480293160139</v>
      </c>
    </row>
    <row r="28" spans="1:20" x14ac:dyDescent="0.3">
      <c r="H28" s="11" t="s">
        <v>32</v>
      </c>
      <c r="I28" s="12">
        <f>SUM(I26:I27)</f>
        <v>2717</v>
      </c>
      <c r="J28" s="12">
        <f t="shared" ref="J28:M28" si="17">SUM(J26:J27)</f>
        <v>3520</v>
      </c>
      <c r="K28" s="12">
        <f>SUM(K26:K27)</f>
        <v>-3381.0250652991062</v>
      </c>
      <c r="L28" s="12">
        <f t="shared" si="17"/>
        <v>-3923.5702839062187</v>
      </c>
      <c r="M28" s="12">
        <f t="shared" si="17"/>
        <v>-4544.1480293160139</v>
      </c>
    </row>
    <row r="30" spans="1:20" x14ac:dyDescent="0.3">
      <c r="H30" s="11" t="s">
        <v>50</v>
      </c>
      <c r="I30" s="10">
        <f>I16+I22</f>
        <v>2303</v>
      </c>
      <c r="J30" s="10">
        <f>J16+J22</f>
        <v>2643</v>
      </c>
      <c r="K30" s="10">
        <f>Revenue_Build!D7</f>
        <v>3054.8632297327176</v>
      </c>
      <c r="L30" s="10">
        <f>Revenue_Build!E7</f>
        <v>3518.7117648138274</v>
      </c>
      <c r="M30" s="10">
        <f>Revenue_Build!F7</f>
        <v>4024.7967153063692</v>
      </c>
    </row>
    <row r="31" spans="1:20" x14ac:dyDescent="0.3">
      <c r="H31" s="1" t="s">
        <v>85</v>
      </c>
      <c r="I31" s="1">
        <f>IF(I16+I22=I30,0,"Error")</f>
        <v>0</v>
      </c>
      <c r="J31" s="1">
        <f t="shared" ref="J31:M31" si="18">IF(J16+J22=J30,0,"Error")</f>
        <v>0</v>
      </c>
      <c r="K31" s="1">
        <f t="shared" si="18"/>
        <v>0</v>
      </c>
      <c r="L31" s="1">
        <f t="shared" si="18"/>
        <v>0</v>
      </c>
      <c r="M31" s="1">
        <f t="shared" si="18"/>
        <v>0</v>
      </c>
    </row>
    <row r="36" spans="9:9" x14ac:dyDescent="0.3">
      <c r="I36" s="11"/>
    </row>
    <row r="37" spans="9:9" x14ac:dyDescent="0.3">
      <c r="I37" s="6"/>
    </row>
    <row r="38" spans="9:9" x14ac:dyDescent="0.3">
      <c r="I38" s="9"/>
    </row>
  </sheetData>
  <mergeCells count="3">
    <mergeCell ref="A2:F2"/>
    <mergeCell ref="H2:M2"/>
    <mergeCell ref="O2:T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3E558-7298-4BB2-A420-C668BEE3B8FE}">
  <dimension ref="B2:N12"/>
  <sheetViews>
    <sheetView workbookViewId="0">
      <selection activeCell="M22" sqref="M22"/>
    </sheetView>
  </sheetViews>
  <sheetFormatPr defaultRowHeight="14.4" x14ac:dyDescent="0.3"/>
  <cols>
    <col min="1" max="1" width="8.88671875" style="1"/>
    <col min="2" max="2" width="22.6640625" style="1" bestFit="1" customWidth="1"/>
    <col min="3" max="3" width="10" style="1" bestFit="1" customWidth="1"/>
    <col min="4" max="7" width="8.88671875" style="1"/>
    <col min="8" max="8" width="15.33203125" style="1" customWidth="1"/>
    <col min="9" max="9" width="8.88671875" style="1"/>
    <col min="10" max="10" width="10.109375" style="1" customWidth="1"/>
    <col min="11" max="16384" width="8.88671875" style="1"/>
  </cols>
  <sheetData>
    <row r="2" spans="2:14" x14ac:dyDescent="0.3">
      <c r="B2" s="23" t="s">
        <v>51</v>
      </c>
      <c r="C2" s="23"/>
      <c r="D2" s="23"/>
      <c r="E2" s="23"/>
      <c r="F2" s="23"/>
      <c r="K2" s="1">
        <v>2021</v>
      </c>
      <c r="L2" s="1">
        <v>2022</v>
      </c>
      <c r="M2" s="1">
        <v>2023</v>
      </c>
      <c r="N2" s="1">
        <v>2024</v>
      </c>
    </row>
    <row r="3" spans="2:14" x14ac:dyDescent="0.3">
      <c r="C3" s="1">
        <v>2021</v>
      </c>
      <c r="D3" s="1">
        <v>2022</v>
      </c>
      <c r="E3" s="1">
        <v>2023</v>
      </c>
      <c r="F3" s="1">
        <v>2024</v>
      </c>
      <c r="H3" s="1" t="s">
        <v>62</v>
      </c>
      <c r="K3" s="6">
        <f>C4+C5-C9</f>
        <v>2642</v>
      </c>
      <c r="L3" s="6">
        <f t="shared" ref="L3:N3" si="0">D4+D5-D9</f>
        <v>3054.8632297327176</v>
      </c>
      <c r="M3" s="6">
        <f t="shared" si="0"/>
        <v>3518.7117648138274</v>
      </c>
      <c r="N3" s="6">
        <f t="shared" si="0"/>
        <v>4024.7967153063692</v>
      </c>
    </row>
    <row r="4" spans="2:14" x14ac:dyDescent="0.3">
      <c r="B4" s="1" t="s">
        <v>52</v>
      </c>
      <c r="C4" s="8">
        <f>'Financial Statements'!I30</f>
        <v>2303</v>
      </c>
      <c r="D4" s="8">
        <f>C7</f>
        <v>2643</v>
      </c>
      <c r="E4" s="8">
        <f t="shared" ref="E4:F4" si="1">D7</f>
        <v>3054.8632297327176</v>
      </c>
      <c r="F4" s="8">
        <f t="shared" si="1"/>
        <v>3518.7117648138274</v>
      </c>
      <c r="G4" s="8"/>
      <c r="H4" s="1" t="s">
        <v>63</v>
      </c>
      <c r="K4" s="1" t="str">
        <f>IF(C9='Financial Statements'!C4,"Yes","No")</f>
        <v>Yes</v>
      </c>
      <c r="L4" s="1" t="str">
        <f>IF(D9='Financial Statements'!D4,"Yes","No")</f>
        <v>Yes</v>
      </c>
      <c r="M4" s="1" t="str">
        <f>IF(E9='Financial Statements'!E4,"Yes","No")</f>
        <v>Yes</v>
      </c>
      <c r="N4" s="1" t="str">
        <f>IF(F9='Financial Statements'!F4,"Yes","No")</f>
        <v>Yes</v>
      </c>
    </row>
    <row r="5" spans="2:14" x14ac:dyDescent="0.3">
      <c r="B5" s="1" t="s">
        <v>53</v>
      </c>
      <c r="C5" s="8">
        <f>('Financial Statements'!C4-Revenue_Build!C4+Revenue_Build!C7)-1</f>
        <v>4657</v>
      </c>
      <c r="D5" s="8">
        <f>C5*(1+D6)</f>
        <v>5401.5887548012552</v>
      </c>
      <c r="E5" s="8">
        <f t="shared" ref="E5:F5" si="2">D5*(1+E6)</f>
        <v>6211.2108841924583</v>
      </c>
      <c r="F5" s="8">
        <f t="shared" si="2"/>
        <v>7080.0718668669651</v>
      </c>
      <c r="G5" s="8"/>
      <c r="H5" s="1" t="s">
        <v>64</v>
      </c>
      <c r="K5" s="1" t="str">
        <f>IF(C7='Financial Statements'!J30,"Yes","No")</f>
        <v>Yes</v>
      </c>
      <c r="L5" s="1" t="str">
        <f>IF(D7='Financial Statements'!K30,"Yes","No")</f>
        <v>Yes</v>
      </c>
      <c r="M5" s="1" t="str">
        <f>IF(E7='Financial Statements'!L30,"Yes","No")</f>
        <v>Yes</v>
      </c>
      <c r="N5" s="1" t="str">
        <f>IF(F7='Financial Statements'!M30,"Yes","No")</f>
        <v>Yes</v>
      </c>
    </row>
    <row r="6" spans="2:14" x14ac:dyDescent="0.3">
      <c r="B6" s="19" t="s">
        <v>56</v>
      </c>
      <c r="C6" s="20">
        <f>(C5/C12)-1</f>
        <v>0.16988592544583536</v>
      </c>
      <c r="D6" s="20">
        <f>C6-1%</f>
        <v>0.15988592544583535</v>
      </c>
      <c r="E6" s="20">
        <f t="shared" ref="E6:F6" si="3">D6-1%</f>
        <v>0.14988592544583534</v>
      </c>
      <c r="F6" s="20">
        <f t="shared" si="3"/>
        <v>0.13988592544583534</v>
      </c>
      <c r="G6" s="8"/>
    </row>
    <row r="7" spans="2:14" x14ac:dyDescent="0.3">
      <c r="B7" s="1" t="s">
        <v>54</v>
      </c>
      <c r="C7" s="8">
        <f>'Financial Statements'!J30</f>
        <v>2643</v>
      </c>
      <c r="D7" s="8">
        <f>D4+D5-D9</f>
        <v>3054.8632297327176</v>
      </c>
      <c r="E7" s="8">
        <f t="shared" ref="E7:F7" si="4">E4+E5-E9</f>
        <v>3518.7117648138274</v>
      </c>
      <c r="F7" s="8">
        <f t="shared" si="4"/>
        <v>4024.7967153063692</v>
      </c>
      <c r="G7" s="8"/>
      <c r="H7" s="1" t="s">
        <v>61</v>
      </c>
    </row>
    <row r="8" spans="2:14" x14ac:dyDescent="0.3">
      <c r="B8" s="19" t="s">
        <v>57</v>
      </c>
      <c r="C8" s="21">
        <f>C9/(C5+C4)</f>
        <v>0.62040229885057474</v>
      </c>
      <c r="D8" s="22">
        <v>0.6202586206896552</v>
      </c>
      <c r="E8" s="22">
        <v>0.6202586206896552</v>
      </c>
      <c r="F8" s="22">
        <v>0.6202586206896552</v>
      </c>
      <c r="G8" s="8"/>
      <c r="H8" s="1" t="s">
        <v>60</v>
      </c>
    </row>
    <row r="9" spans="2:14" x14ac:dyDescent="0.3">
      <c r="B9" s="11" t="s">
        <v>55</v>
      </c>
      <c r="C9" s="12">
        <f>C4+C5-C7+1</f>
        <v>4318</v>
      </c>
      <c r="D9" s="12">
        <f>(D4+D5)*D8</f>
        <v>4989.7255250685375</v>
      </c>
      <c r="E9" s="12">
        <f t="shared" ref="E9:F9" si="5">(E4+E5)*E8</f>
        <v>5747.3623491113494</v>
      </c>
      <c r="F9" s="12">
        <f t="shared" si="5"/>
        <v>6573.9869163744224</v>
      </c>
      <c r="G9" s="8"/>
      <c r="H9" s="1" t="s">
        <v>65</v>
      </c>
    </row>
    <row r="11" spans="2:14" x14ac:dyDescent="0.3">
      <c r="B11" s="1" t="s">
        <v>59</v>
      </c>
      <c r="C11" s="1">
        <v>1949.27</v>
      </c>
    </row>
    <row r="12" spans="2:14" x14ac:dyDescent="0.3">
      <c r="B12" s="1" t="s">
        <v>58</v>
      </c>
      <c r="C12" s="1">
        <f>'Financial Statements'!B4-Revenue_Build!C11+'Financial Statements'!I30</f>
        <v>3980.73</v>
      </c>
    </row>
  </sheetData>
  <mergeCells count="1">
    <mergeCell ref="B2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Assumptions</vt:lpstr>
      <vt:lpstr>Financial Statements</vt:lpstr>
      <vt:lpstr>Revenue_Build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Guowei Wu</dc:creator>
  <cp:lastModifiedBy>Guowei Wu</cp:lastModifiedBy>
  <dcterms:created xsi:type="dcterms:W3CDTF">2025-12-16T17:43:35Z</dcterms:created>
  <dcterms:modified xsi:type="dcterms:W3CDTF">2025-12-22T18:59:10Z</dcterms:modified>
</cp:coreProperties>
</file>